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bb5327b98146fd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ea505e774e45403c"/>
    <sheet xmlns:r="http://schemas.openxmlformats.org/officeDocument/2006/relationships" name="01 Confirm the basics" sheetId="2" r:id="R0c0157dd3bfb4404"/>
    <sheet xmlns:r="http://schemas.openxmlformats.org/officeDocument/2006/relationships" name="02 How things are now" sheetId="3" r:id="R613c4939346946e5"/>
    <sheet xmlns:r="http://schemas.openxmlformats.org/officeDocument/2006/relationships" name="03 A usual day" sheetId="4" r:id="Rd4cdafd37d674dcc"/>
    <sheet xmlns:r="http://schemas.openxmlformats.org/officeDocument/2006/relationships" name="04 Health and comfort" sheetId="5" r:id="Re49e3869eecc4849"/>
    <sheet xmlns:r="http://schemas.openxmlformats.org/officeDocument/2006/relationships" name="05 Medication" sheetId="6" r:id="Ra7a741e3af554825"/>
    <sheet xmlns:r="http://schemas.openxmlformats.org/officeDocument/2006/relationships" name="06 Living situation" sheetId="7" r:id="Rb6f7ae69db834e53"/>
    <sheet xmlns:r="http://schemas.openxmlformats.org/officeDocument/2006/relationships" name="07 Recent care and history" sheetId="8" r:id="R229fa0a170c64755"/>
    <sheet xmlns:r="http://schemas.openxmlformats.org/officeDocument/2006/relationships" name="08 Substance use and recovery" sheetId="9" r:id="R31a37d5ce5d14959"/>
    <sheet xmlns:r="http://schemas.openxmlformats.org/officeDocument/2006/relationships" name="09 Safety and support" sheetId="10" r:id="R1110fc44b1e94567"/>
    <sheet xmlns:r="http://schemas.openxmlformats.org/officeDocument/2006/relationships" name="10 Decisions and legal support" sheetId="11" r:id="R01ce2b7e25c84ec2"/>
    <sheet xmlns:r="http://schemas.openxmlformats.org/officeDocument/2006/relationships" name="11 What matters next" sheetId="12" r:id="R8e7cbcc449b04976"/>
    <sheet xmlns:r="http://schemas.openxmlformats.org/officeDocument/2006/relationships" name="12 Anything else" sheetId="13" r:id="R9cae6c060a474f4f"/>
    <sheet xmlns:r="http://schemas.openxmlformats.org/officeDocument/2006/relationships" name="Pipeline_Data" sheetId="14" r:id="Rb861b1ec397245fa" state="veryHidden"/>
    <sheet xmlns:r="http://schemas.openxmlformats.org/officeDocument/2006/relationships" name="Codebook" sheetId="15" r:id="R9b58ee9f9cd34eaa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history'!$B$1:$E$26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support'!$B$1:$E$39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6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d9c701987647c8" /><Relationship Type="http://schemas.openxmlformats.org/officeDocument/2006/relationships/theme" Target="/xl/theme/theme1.xml" Id="R077ae581951647f6" /><Relationship Type="http://schemas.openxmlformats.org/officeDocument/2006/relationships/sharedStrings" Target="/xl/sharedStrings.xml" Id="R94e4395920f547bc" /><Relationship Type="http://schemas.openxmlformats.org/officeDocument/2006/relationships/worksheet" Target="/xl/worksheets/sheet1.xml" Id="Rea505e774e45403c" /><Relationship Type="http://schemas.openxmlformats.org/officeDocument/2006/relationships/worksheet" Target="/xl/worksheets/sheet2.xml" Id="R0c0157dd3bfb4404" /><Relationship Type="http://schemas.openxmlformats.org/officeDocument/2006/relationships/worksheet" Target="/xl/worksheets/sheet3.xml" Id="R613c4939346946e5" /><Relationship Type="http://schemas.openxmlformats.org/officeDocument/2006/relationships/worksheet" Target="/xl/worksheets/sheet4.xml" Id="Rd4cdafd37d674dcc" /><Relationship Type="http://schemas.openxmlformats.org/officeDocument/2006/relationships/worksheet" Target="/xl/worksheets/sheet5.xml" Id="Re49e3869eecc4849" /><Relationship Type="http://schemas.openxmlformats.org/officeDocument/2006/relationships/worksheet" Target="/xl/worksheets/sheet6.xml" Id="Ra7a741e3af554825" /><Relationship Type="http://schemas.openxmlformats.org/officeDocument/2006/relationships/worksheet" Target="/xl/worksheets/sheet7.xml" Id="Rb6f7ae69db834e53" /><Relationship Type="http://schemas.openxmlformats.org/officeDocument/2006/relationships/worksheet" Target="/xl/worksheets/sheet8.xml" Id="R229fa0a170c64755" /><Relationship Type="http://schemas.openxmlformats.org/officeDocument/2006/relationships/worksheet" Target="/xl/worksheets/sheet9.xml" Id="R31a37d5ce5d14959" /><Relationship Type="http://schemas.openxmlformats.org/officeDocument/2006/relationships/worksheet" Target="/xl/worksheets/sheet10.xml" Id="R1110fc44b1e94567" /><Relationship Type="http://schemas.openxmlformats.org/officeDocument/2006/relationships/worksheet" Target="/xl/worksheets/sheet11.xml" Id="R01ce2b7e25c84ec2" /><Relationship Type="http://schemas.openxmlformats.org/officeDocument/2006/relationships/worksheet" Target="/xl/worksheets/sheet12.xml" Id="R8e7cbcc449b04976" /><Relationship Type="http://schemas.openxmlformats.org/officeDocument/2006/relationships/worksheet" Target="/xl/worksheets/sheet13.xml" Id="R9cae6c060a474f4f" /><Relationship Type="http://schemas.openxmlformats.org/officeDocument/2006/relationships/worksheet" Target="/xl/worksheets/sheet14.xml" Id="Rb861b1ec397245fa" /><Relationship Type="http://schemas.openxmlformats.org/officeDocument/2006/relationships/worksheet" Target="/xl/worksheets/sheet15.xml" Id="R9b58ee9f9cd34ea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history'!E6:E26,"Needs answer")+COUNTIF('07 Recent care and history'!E6:E26,"Explain why")</f>
        <v>0</v>
      </c>
      <c r="D22" s="31" t="n">
        <f>COUNTIF('07 Recent care and history'!E6:E26,"Review previous answer")+COUNTIF('07 Recent care and history'!E6:E26,"Review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support'!E6:E39,"Needs answer")+COUNTIF('10 Decisions and legal support'!E6:E39,"Explain why")</f>
        <v>4</v>
      </c>
      <c r="D25" s="31" t="n">
        <f>COUNTIF('10 Decisions and legal support'!E6:E39,"Review previous answer")+COUNTIF('10 Decisions and legal support'!E6:E39,"Review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62" priority="1" operator="greaterThan">
      <formula>0</formula>
    </cfRule>
  </conditionalFormatting>
  <conditionalFormatting sqref="C17:D17">
    <cfRule type="cellIs" dxfId="363" priority="2" operator="greaterThan">
      <formula>0</formula>
    </cfRule>
  </conditionalFormatting>
  <conditionalFormatting sqref="C18:D18">
    <cfRule type="cellIs" dxfId="364" priority="3" operator="greaterThan">
      <formula>0</formula>
    </cfRule>
  </conditionalFormatting>
  <conditionalFormatting sqref="C19:D19">
    <cfRule type="cellIs" dxfId="365" priority="4" operator="greaterThan">
      <formula>0</formula>
    </cfRule>
  </conditionalFormatting>
  <conditionalFormatting sqref="C20:D20">
    <cfRule type="cellIs" dxfId="366" priority="5" operator="greaterThan">
      <formula>0</formula>
    </cfRule>
  </conditionalFormatting>
  <conditionalFormatting sqref="C21:D21">
    <cfRule type="cellIs" dxfId="367" priority="6" operator="greaterThan">
      <formula>0</formula>
    </cfRule>
  </conditionalFormatting>
  <conditionalFormatting sqref="C22:D22">
    <cfRule type="cellIs" dxfId="368" priority="7" operator="greaterThan">
      <formula>0</formula>
    </cfRule>
  </conditionalFormatting>
  <conditionalFormatting sqref="C23:D23">
    <cfRule type="cellIs" dxfId="369" priority="8" operator="greaterThan">
      <formula>0</formula>
    </cfRule>
  </conditionalFormatting>
  <conditionalFormatting sqref="C24:D24">
    <cfRule type="cellIs" dxfId="370" priority="9" operator="greaterThan">
      <formula>0</formula>
    </cfRule>
  </conditionalFormatting>
  <conditionalFormatting sqref="C25:D25">
    <cfRule type="cellIs" dxfId="371" priority="10" operator="greaterThan">
      <formula>0</formula>
    </cfRule>
  </conditionalFormatting>
  <conditionalFormatting sqref="C26:D26">
    <cfRule type="cellIs" dxfId="372" priority="11" operator="greaterThan">
      <formula>0</formula>
    </cfRule>
  </conditionalFormatting>
  <conditionalFormatting sqref="C27:D27">
    <cfRule type="cellIs" dxfId="373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Date assessment performed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Where the client is now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9" customHeight="1" hidden="1">
      <c r="A15" s="3" t="str">
        <v>resident_number</v>
      </c>
      <c r="B15" s="21" t="inlineStr">
        <is>
          <r>
            <rPr>
              <b/>
              <sz val="12"/>
              <color rgb="FF233B32"/>
            </rPr>
            <t>Resident number</t>
          </r>
          <r>
            <rPr>
              <b val="0"/>
              <sz val="10"/>
              <color rgb="FF59675F"/>
            </rPr>
            <t xml:space="preserve">
Reference only.</t>
          </r>
        </is>
      </c>
      <c r="C15" s="23" t="str"/>
      <c r="D15" s="15" t="str"/>
      <c r="E15" s="16" t="str">
        <f>"Reference only"</f>
        <v>Reference only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physical_health_concerns</v>
      </c>
      <c r="B6" s="13" t="str">
        <v>Physical health concerns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5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Earlier entered medication history. Attach the current medication list in Files for the community handoff.
Reference only.</t>
          </r>
        </is>
      </c>
      <c r="C10" s="23" t="str"/>
      <c r="D10" s="15" t="str"/>
      <c r="E10" s="16" t="str">
        <f>"Reference only"</f>
        <v>Reference only</v>
      </c>
    </row>
    <row r="11" ht="88" customHeight="1" hidden="1">
      <c r="A11" s="3" t="str">
        <v>medications_at_intake:1</v>
      </c>
      <c r="B11" s="3" t="str">
        <v>Medications at intake (continued)</v>
      </c>
      <c r="C11" s="24" t="str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s="24" t="str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s="24" t="str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s="24" t="str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s="24" t="str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s="24" t="str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s="24" t="str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s="24" t="str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s="24" t="str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s="24" t="str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s="24" t="str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s="24" t="str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s="24" t="str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51" customHeight="1">
      <c r="A7" s="3" t="str">
        <v>prior_setting_bucket</v>
      </c>
      <c r="B7" s="21" t="inlineStr">
        <is>
          <r>
            <rPr>
              <b/>
              <sz val="12"/>
              <color rgb="FF233B32"/>
            </rPr>
            <t>Most recent setting type</t>
          </r>
          <r>
            <rPr>
              <b val="0"/>
              <sz val="10"/>
              <color rgb="FF59675F"/>
            </rPr>
            <t xml:space="preserve">
Choose the setting the client is coming from for this referral.</t>
          </r>
        </is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Most recent facility or program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Earlier care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hospitalization_history</v>
      </c>
      <c r="B8" s="13" t="str">
        <v>Hospitalization history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hospitalization_timeline</v>
      </c>
      <c r="B9" s="21" t="inlineStr">
        <is>
          <r>
            <rPr>
              <b/>
              <sz val="12"/>
              <color rgb="FF233B32"/>
            </rPr>
            <t>Hospitalization timeline</t>
          </r>
          <r>
            <rPr>
              <b val="0"/>
              <sz val="10"/>
              <color rgb="FF59675F"/>
            </rPr>
            <t xml:space="preserve">
Optional. Add an event only when you know enough to describe it; approximate timing is fine.</t>
          </r>
        </is>
      </c>
      <c r="C9" t="str" s="50"/>
      <c r="D9" t="str" s="48"/>
      <c r="E9" s="16" t="str">
        <f>IF(NOT(TRUE),IF(OR(LEN(TRIM(C9&amp;""&amp;C10&amp;""&amp;C11&amp;""&amp;C12&amp;""&amp;C13&amp;""&amp;C14&amp;""&amp;C15&amp;""&amp;C16&amp;""&amp;C17&amp;""&amp;C18&amp;""&amp;C19&amp;""&amp;C20&amp;""&amp;C21&amp;""&amp;C22))&gt;0,LEN(TRIM(D9))&gt;0),"Review previous answer","Not applicable"),IF(AND(LEN(TRIM(D9))&gt;0,NOT(FALSE)),"Review previous reason",IF(AND(FALSE,NOT(LEN(TRIM(D9))&gt;0)),"Explain why",IF(LEN(TRIM(C9&amp;""&amp;C10&amp;""&amp;C11&amp;""&amp;C12&amp;""&amp;C13&amp;""&amp;C14&amp;""&amp;C15&amp;""&amp;C16&amp;""&amp;C17&amp;""&amp;C18&amp;""&amp;C19&amp;""&amp;C20&amp;""&amp;C21&amp;""&amp;C22))&gt;0,"Answered",IF(FALSE,"Needs answer","Optional")))))</f>
        <v>Optional</v>
      </c>
    </row>
    <row r="10" ht="88" customHeight="1" hidden="1">
      <c r="A10" s="3" t="str">
        <v>hospitalization_timeline:1</v>
      </c>
      <c r="B10" s="3" t="str">
        <v>Hospitalization timeline (continued)</v>
      </c>
      <c r="C10" t="str" s="57"/>
      <c r="D10" s="3" t="str"/>
      <c r="E10" s="3"/>
    </row>
    <row r="11" ht="88" customHeight="1" hidden="1">
      <c r="A11" s="3" t="str">
        <v>hospitalization_timeline:2</v>
      </c>
      <c r="B11" s="3" t="str">
        <v>Hospitalization timeline (continued)</v>
      </c>
      <c r="C11" t="str" s="57"/>
      <c r="D11" s="3" t="str"/>
      <c r="E11" s="3"/>
    </row>
    <row r="12" ht="88" customHeight="1" hidden="1">
      <c r="A12" s="3" t="str">
        <v>hospitalization_timeline:3</v>
      </c>
      <c r="B12" s="3" t="str">
        <v>Hospitalization timeline (continued)</v>
      </c>
      <c r="C12" t="str" s="57"/>
      <c r="D12" s="3" t="str"/>
      <c r="E12" s="3"/>
    </row>
    <row r="13" ht="88" customHeight="1" hidden="1">
      <c r="A13" s="3" t="str">
        <v>hospitalization_timeline:4</v>
      </c>
      <c r="B13" s="3" t="str">
        <v>Hospitalization timeline (continued)</v>
      </c>
      <c r="C13" t="str" s="57"/>
      <c r="D13" s="3" t="str"/>
      <c r="E13" s="3"/>
    </row>
    <row r="14" ht="88" customHeight="1" hidden="1">
      <c r="A14" s="3" t="str">
        <v>hospitalization_timeline:5</v>
      </c>
      <c r="B14" s="3" t="str">
        <v>Hospitalization timeline (continued)</v>
      </c>
      <c r="C14" t="str" s="57"/>
      <c r="D14" s="3" t="str"/>
      <c r="E14" s="3"/>
    </row>
    <row r="15" ht="88" customHeight="1" hidden="1">
      <c r="A15" s="3" t="str">
        <v>hospitalization_timeline:6</v>
      </c>
      <c r="B15" s="3" t="str">
        <v>Hospitalization timeline (continued)</v>
      </c>
      <c r="C15" t="str" s="57"/>
      <c r="D15" s="3" t="str"/>
      <c r="E15" s="3"/>
    </row>
    <row r="16" ht="88" customHeight="1" hidden="1">
      <c r="A16" s="3" t="str">
        <v>hospitalization_timeline:7</v>
      </c>
      <c r="B16" s="3" t="str">
        <v>Hospitalization timeline (continued)</v>
      </c>
      <c r="C16" t="str" s="57"/>
      <c r="D16" s="3" t="str"/>
      <c r="E16" s="3"/>
    </row>
    <row r="17" ht="88" customHeight="1" hidden="1">
      <c r="A17" s="3" t="str">
        <v>hospitalization_timeline:8</v>
      </c>
      <c r="B17" s="3" t="str">
        <v>Hospitalization timeline (continued)</v>
      </c>
      <c r="C17" t="str" s="57"/>
      <c r="D17" s="3" t="str"/>
      <c r="E17" s="3"/>
    </row>
    <row r="18" ht="88" customHeight="1" hidden="1">
      <c r="A18" s="3" t="str">
        <v>hospitalization_timeline:9</v>
      </c>
      <c r="B18" s="3" t="str">
        <v>Hospitalization timeline (continued)</v>
      </c>
      <c r="C18" t="str" s="57"/>
      <c r="D18" s="3" t="str"/>
      <c r="E18" s="3"/>
    </row>
    <row r="19" ht="88" customHeight="1" hidden="1">
      <c r="A19" s="3" t="str">
        <v>hospitalization_timeline:10</v>
      </c>
      <c r="B19" s="3" t="str">
        <v>Hospitalization timeline (continued)</v>
      </c>
      <c r="C19" t="str" s="57"/>
      <c r="D19" s="3" t="str"/>
      <c r="E19" s="3"/>
    </row>
    <row r="20" ht="88" customHeight="1" hidden="1">
      <c r="A20" s="3" t="str">
        <v>hospitalization_timeline:11</v>
      </c>
      <c r="B20" s="3" t="str">
        <v>Hospitalization timeline (continued)</v>
      </c>
      <c r="C20" t="str" s="57"/>
      <c r="D20" s="3" t="str"/>
      <c r="E20" s="3"/>
    </row>
    <row r="21" ht="88" customHeight="1" hidden="1">
      <c r="A21" s="3" t="str">
        <v>hospitalization_timeline:12</v>
      </c>
      <c r="B21" s="3" t="str">
        <v>Hospitalization timeline (continued)</v>
      </c>
      <c r="C21" t="str" s="57"/>
      <c r="D21" s="3" t="str"/>
      <c r="E21" s="3"/>
    </row>
    <row r="22" ht="88" customHeight="1" hidden="1">
      <c r="A22" s="3" t="str">
        <v>hospitalization_timeline:13</v>
      </c>
      <c r="B22" s="3" t="str">
        <v>Hospitalization timeline (continued)</v>
      </c>
      <c r="C22" t="str" s="57"/>
      <c r="D22" s="3" t="str"/>
      <c r="E22" s="3"/>
    </row>
    <row r="23" ht="34" customHeight="1">
      <c r="A23" s="3" t="str">
        <v>prior_hospitalizations_count</v>
      </c>
      <c r="B23" s="13" t="str">
        <v>Prior hospitalizations</v>
      </c>
      <c r="C23" t="str" s="58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most_recent_hospitalization</v>
      </c>
      <c r="B24" s="13" t="str">
        <v>Most recent hospitalization</v>
      </c>
      <c r="C24" t="str" s="51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prior_5150_5250_holds</v>
      </c>
      <c r="B25" s="13" t="str">
        <v>Prior 5150 / 5250 holds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crisis_er_utilization</v>
      </c>
      <c r="B26" s="13" t="str">
        <v>Crisis / ER utilization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23:E23">
    <cfRule type="expression" dxfId="178" priority="9">
      <formula>$E23="Not applicable"</formula>
    </cfRule>
  </conditionalFormatting>
  <conditionalFormatting sqref="E23:E23">
    <cfRule type="expression" dxfId="179" priority="10">
      <formula>OR($E23="Needs answer",$E23="Explain why",LEFT($E23,6)="Review")</formula>
    </cfRule>
  </conditionalFormatting>
  <conditionalFormatting sqref="B24:E24">
    <cfRule type="expression" dxfId="180" priority="11">
      <formula>$E24="Not applicable"</formula>
    </cfRule>
  </conditionalFormatting>
  <conditionalFormatting sqref="E24:E24">
    <cfRule type="expression" dxfId="181" priority="12">
      <formula>OR($E24="Needs answer",$E24="Explain why",LEFT($E24,6)="Review")</formula>
    </cfRule>
  </conditionalFormatting>
  <conditionalFormatting sqref="B25:E25">
    <cfRule type="expression" dxfId="182" priority="13">
      <formula>$E25="Not applicable"</formula>
    </cfRule>
  </conditionalFormatting>
  <conditionalFormatting sqref="E25:E25">
    <cfRule type="expression" dxfId="183" priority="14">
      <formula>OR($E25="Needs answer",$E25="Explain why",LEFT($E25,6)="Review")</formula>
    </cfRule>
  </conditionalFormatting>
  <conditionalFormatting sqref="B26:E26">
    <cfRule type="expression" dxfId="184" priority="15">
      <formula>$E26="Not applicable"</formula>
    </cfRule>
  </conditionalFormatting>
  <conditionalFormatting sqref="E26:E26">
    <cfRule type="expression" dxfId="185" priority="16">
      <formula>OR($E26="Needs answer",$E26="Explain why",LEFT($E26,6)="Review")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6" priority="1">
      <formula>$E6="Not applicable"</formula>
    </cfRule>
  </conditionalFormatting>
  <conditionalFormatting sqref="E6:E6">
    <cfRule type="expression" dxfId="187" priority="2">
      <formula>OR($E6="Needs answer",$E6="Explain why",LEFT($E6,6)="Review")</formula>
    </cfRule>
  </conditionalFormatting>
  <conditionalFormatting sqref="D6:D6">
    <cfRule type="expression" dxfId="188" priority="3">
      <formula>OR($C6="Unable to assess",$C6="unable_to_assess")</formula>
    </cfRule>
  </conditionalFormatting>
  <conditionalFormatting sqref="B7:E7">
    <cfRule type="expression" dxfId="189" priority="4">
      <formula>$E7="Not applicable"</formula>
    </cfRule>
  </conditionalFormatting>
  <conditionalFormatting sqref="E7:E7">
    <cfRule type="expression" dxfId="190" priority="5">
      <formula>OR($E7="Needs answer",$E7="Explain why",LEFT($E7,6)="Review")</formula>
    </cfRule>
  </conditionalFormatting>
  <conditionalFormatting sqref="D7:D7">
    <cfRule type="expression" dxfId="191" priority="6">
      <formula>OR($C7="Unable to assess",$C7="unable_to_assess")</formula>
    </cfRule>
  </conditionalFormatting>
  <conditionalFormatting sqref="B8:E8">
    <cfRule type="expression" dxfId="192" priority="7">
      <formula>$E8="Not applicable"</formula>
    </cfRule>
  </conditionalFormatting>
  <conditionalFormatting sqref="E8:E8">
    <cfRule type="expression" dxfId="193" priority="8">
      <formula>OR($E8="Needs answer",$E8="Explain why",LEFT($E8,6)="Review")</formula>
    </cfRule>
  </conditionalFormatting>
  <conditionalFormatting sqref="B22:E22">
    <cfRule type="expression" dxfId="194" priority="9">
      <formula>$E22="Not applicable"</formula>
    </cfRule>
  </conditionalFormatting>
  <conditionalFormatting sqref="E22:E22">
    <cfRule type="expression" dxfId="195" priority="10">
      <formula>OR($E22="Needs answer",$E22="Explain why",LEFT($E22,6)="Review")</formula>
    </cfRule>
  </conditionalFormatting>
  <conditionalFormatting sqref="B23:E23">
    <cfRule type="expression" dxfId="196" priority="11">
      <formula>$E23="Not applicable"</formula>
    </cfRule>
  </conditionalFormatting>
  <conditionalFormatting sqref="E23:E23">
    <cfRule type="expression" dxfId="197" priority="12">
      <formula>OR($E23="Needs answer",$E23="Explain why",LEFT($E23,6)="Review")</formula>
    </cfRule>
  </conditionalFormatting>
  <conditionalFormatting sqref="B24:E24">
    <cfRule type="expression" dxfId="198" priority="13">
      <formula>$E24="Not applicable"</formula>
    </cfRule>
  </conditionalFormatting>
  <conditionalFormatting sqref="E24:E24">
    <cfRule type="expression" dxfId="199" priority="14">
      <formula>OR($E24="Needs answer",$E24="Explain why",LEFT($E24,6)="Review")</formula>
    </cfRule>
  </conditionalFormatting>
  <conditionalFormatting sqref="B25:E25">
    <cfRule type="expression" dxfId="200" priority="15">
      <formula>$E25="Not applicable"</formula>
    </cfRule>
  </conditionalFormatting>
  <conditionalFormatting sqref="E25:E25">
    <cfRule type="expression" dxfId="201" priority="16">
      <formula>OR($E25="Needs answer",$E25="Explain why",LEFT($E25,6)="Review")</formula>
    </cfRule>
  </conditionalFormatting>
  <conditionalFormatting sqref="B26:E26">
    <cfRule type="expression" dxfId="202" priority="17">
      <formula>$E26="Not applicable"</formula>
    </cfRule>
  </conditionalFormatting>
  <conditionalFormatting sqref="E26:E26">
    <cfRule type="expression" dxfId="203" priority="18">
      <formula>OR($E26="Needs answer",$E26="Explain why",LEFT($E26,6)="Review")</formula>
    </cfRule>
  </conditionalFormatting>
  <conditionalFormatting sqref="B27:E27">
    <cfRule type="expression" dxfId="204" priority="19">
      <formula>$E27="Not applicable"</formula>
    </cfRule>
  </conditionalFormatting>
  <conditionalFormatting sqref="E27:E27">
    <cfRule type="expression" dxfId="205" priority="20">
      <formula>OR($E27="Needs answer",$E27="Explain why",LEFT($E27,6)="Review")</formula>
    </cfRule>
  </conditionalFormatting>
  <conditionalFormatting sqref="B28:E28">
    <cfRule type="expression" dxfId="206" priority="21">
      <formula>$E28="Not applicable"</formula>
    </cfRule>
  </conditionalFormatting>
  <conditionalFormatting sqref="E28:E28">
    <cfRule type="expression" dxfId="207" priority="22">
      <formula>OR($E28="Needs answer",$E28="Explain why",LEFT($E28,6)="Review")</formula>
    </cfRule>
  </conditionalFormatting>
  <conditionalFormatting sqref="B29:E29">
    <cfRule type="expression" dxfId="208" priority="23">
      <formula>$E29="Not applicable"</formula>
    </cfRule>
  </conditionalFormatting>
  <conditionalFormatting sqref="E29:E29">
    <cfRule type="expression" dxfId="209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10" priority="1">
      <formula>$E6="Not applicable"</formula>
    </cfRule>
  </conditionalFormatting>
  <conditionalFormatting sqref="E6:E6">
    <cfRule type="expression" dxfId="211" priority="2">
      <formula>OR($E6="Needs answer",$E6="Explain why",LEFT($E6,6)="Review")</formula>
    </cfRule>
  </conditionalFormatting>
  <conditionalFormatting sqref="B7:E7">
    <cfRule type="expression" dxfId="212" priority="3">
      <formula>$E7="Not applicable"</formula>
    </cfRule>
  </conditionalFormatting>
  <conditionalFormatting sqref="E7:E7">
    <cfRule type="expression" dxfId="213" priority="4">
      <formula>OR($E7="Needs answer",$E7="Explain why",LEFT($E7,6)="Review")</formula>
    </cfRule>
  </conditionalFormatting>
  <conditionalFormatting sqref="D7:D7">
    <cfRule type="expression" dxfId="214" priority="5">
      <formula>OR($C7="Unable to assess",$C7="unable_to_assess")</formula>
    </cfRule>
  </conditionalFormatting>
  <conditionalFormatting sqref="B8:E8">
    <cfRule type="expression" dxfId="215" priority="6">
      <formula>$E8="Not applicable"</formula>
    </cfRule>
  </conditionalFormatting>
  <conditionalFormatting sqref="E8:E8">
    <cfRule type="expression" dxfId="216" priority="7">
      <formula>OR($E8="Needs answer",$E8="Explain why",LEFT($E8,6)="Review")</formula>
    </cfRule>
  </conditionalFormatting>
  <conditionalFormatting sqref="B9:E9">
    <cfRule type="expression" dxfId="217" priority="8">
      <formula>$E9="Not applicable"</formula>
    </cfRule>
  </conditionalFormatting>
  <conditionalFormatting sqref="E9:E9">
    <cfRule type="expression" dxfId="218" priority="9">
      <formula>OR($E9="Needs answer",$E9="Explain why",LEFT($E9,6)="Review")</formula>
    </cfRule>
  </conditionalFormatting>
  <conditionalFormatting sqref="D9:D9">
    <cfRule type="expression" dxfId="219" priority="10">
      <formula>OR($C9="Unable to assess",$C9="unable_to_assess")</formula>
    </cfRule>
  </conditionalFormatting>
  <conditionalFormatting sqref="B10:E10">
    <cfRule type="expression" dxfId="220" priority="11">
      <formula>$E10="Not applicable"</formula>
    </cfRule>
  </conditionalFormatting>
  <conditionalFormatting sqref="E10:E10">
    <cfRule type="expression" dxfId="221" priority="12">
      <formula>OR($E10="Needs answer",$E10="Explain why",LEFT($E10,6)="Review")</formula>
    </cfRule>
  </conditionalFormatting>
  <conditionalFormatting sqref="B11:E11">
    <cfRule type="expression" dxfId="222" priority="13">
      <formula>$E11="Not applicable"</formula>
    </cfRule>
  </conditionalFormatting>
  <conditionalFormatting sqref="E11:E11">
    <cfRule type="expression" dxfId="223" priority="14">
      <formula>OR($E11="Needs answer",$E11="Explain why",LEFT($E11,6)="Review")</formula>
    </cfRule>
  </conditionalFormatting>
  <conditionalFormatting sqref="D11:D11">
    <cfRule type="expression" dxfId="224" priority="15">
      <formula>OR($C11="Unable to assess",$C11="unable_to_assess")</formula>
    </cfRule>
  </conditionalFormatting>
  <conditionalFormatting sqref="B12:E12">
    <cfRule type="expression" dxfId="225" priority="16">
      <formula>$E12="Not applicable"</formula>
    </cfRule>
  </conditionalFormatting>
  <conditionalFormatting sqref="E12:E12">
    <cfRule type="expression" dxfId="226" priority="17">
      <formula>OR($E12="Needs answer",$E12="Explain why",LEFT($E12,6)="Review")</formula>
    </cfRule>
  </conditionalFormatting>
  <conditionalFormatting sqref="B13:E13">
    <cfRule type="expression" dxfId="227" priority="18">
      <formula>$E13="Not applicable"</formula>
    </cfRule>
  </conditionalFormatting>
  <conditionalFormatting sqref="E13:E13">
    <cfRule type="expression" dxfId="228" priority="19">
      <formula>OR($E13="Needs answer",$E13="Explain why",LEFT($E13,6)="Review")</formula>
    </cfRule>
  </conditionalFormatting>
  <conditionalFormatting sqref="B14:E14">
    <cfRule type="expression" dxfId="229" priority="20">
      <formula>$E14="Not applicable"</formula>
    </cfRule>
  </conditionalFormatting>
  <conditionalFormatting sqref="E14:E14">
    <cfRule type="expression" dxfId="230" priority="21">
      <formula>OR($E14="Needs answer",$E14="Explain why",LEFT($E14,6)="Review")</formula>
    </cfRule>
  </conditionalFormatting>
  <conditionalFormatting sqref="D14:D14">
    <cfRule type="expression" dxfId="231" priority="22">
      <formula>OR($C14="Unable to assess",$C14="unable_to_assess")</formula>
    </cfRule>
  </conditionalFormatting>
  <conditionalFormatting sqref="B15:E15">
    <cfRule type="expression" dxfId="232" priority="23">
      <formula>$E15="Not applicable"</formula>
    </cfRule>
  </conditionalFormatting>
  <conditionalFormatting sqref="E15:E15">
    <cfRule type="expression" dxfId="233" priority="24">
      <formula>OR($E15="Needs answer",$E15="Explain why",LEFT($E15,6)="Review")</formula>
    </cfRule>
  </conditionalFormatting>
  <conditionalFormatting sqref="B16:E16">
    <cfRule type="expression" dxfId="234" priority="25">
      <formula>$E16="Not applicable"</formula>
    </cfRule>
  </conditionalFormatting>
  <conditionalFormatting sqref="E16:E16">
    <cfRule type="expression" dxfId="235" priority="26">
      <formula>OR($E16="Needs answer",$E16="Explain why",LEFT($E16,6)="Review")</formula>
    </cfRule>
  </conditionalFormatting>
  <conditionalFormatting sqref="B17:E17">
    <cfRule type="expression" dxfId="236" priority="27">
      <formula>$E17="Not applicable"</formula>
    </cfRule>
  </conditionalFormatting>
  <conditionalFormatting sqref="E17:E17">
    <cfRule type="expression" dxfId="237" priority="28">
      <formula>OR($E17="Needs answer",$E17="Explain why",LEFT($E17,6)="Review")</formula>
    </cfRule>
  </conditionalFormatting>
  <conditionalFormatting sqref="D17:D17">
    <cfRule type="expression" dxfId="238" priority="29">
      <formula>OR($C17="Unable to assess",$C17="unable_to_assess")</formula>
    </cfRule>
  </conditionalFormatting>
  <conditionalFormatting sqref="B18:E18">
    <cfRule type="expression" dxfId="239" priority="30">
      <formula>$E18="Not applicable"</formula>
    </cfRule>
  </conditionalFormatting>
  <conditionalFormatting sqref="E18:E18">
    <cfRule type="expression" dxfId="240" priority="31">
      <formula>OR($E18="Needs answer",$E18="Explain why",LEFT($E18,6)="Review")</formula>
    </cfRule>
  </conditionalFormatting>
  <conditionalFormatting sqref="B19:E19">
    <cfRule type="expression" dxfId="241" priority="32">
      <formula>$E19="Not applicable"</formula>
    </cfRule>
  </conditionalFormatting>
  <conditionalFormatting sqref="E19:E19">
    <cfRule type="expression" dxfId="242" priority="33">
      <formula>OR($E19="Needs answer",$E19="Explain why",LEFT($E19,6)="Review")</formula>
    </cfRule>
  </conditionalFormatting>
  <conditionalFormatting sqref="B20:E20">
    <cfRule type="expression" dxfId="243" priority="34">
      <formula>$E20="Not applicable"</formula>
    </cfRule>
  </conditionalFormatting>
  <conditionalFormatting sqref="E20:E20">
    <cfRule type="expression" dxfId="244" priority="35">
      <formula>OR($E20="Needs answer",$E20="Explain why",LEFT($E20,6)="Review")</formula>
    </cfRule>
  </conditionalFormatting>
  <conditionalFormatting sqref="B21:E21">
    <cfRule type="expression" dxfId="245" priority="36">
      <formula>$E21="Not applicable"</formula>
    </cfRule>
  </conditionalFormatting>
  <conditionalFormatting sqref="E21:E21">
    <cfRule type="expression" dxfId="246" priority="37">
      <formula>OR($E21="Needs answer",$E21="Explain why",LEFT($E21,6)="Review")</formula>
    </cfRule>
  </conditionalFormatting>
  <conditionalFormatting sqref="B22:E22">
    <cfRule type="expression" dxfId="247" priority="38">
      <formula>$E22="Not applicable"</formula>
    </cfRule>
  </conditionalFormatting>
  <conditionalFormatting sqref="E22:E22">
    <cfRule type="expression" dxfId="248" priority="39">
      <formula>OR($E22="Needs answer",$E22="Explain why",LEFT($E22,6)="Review")</formula>
    </cfRule>
  </conditionalFormatting>
  <conditionalFormatting sqref="B23:E23">
    <cfRule type="expression" dxfId="249" priority="40">
      <formula>$E23="Not applicable"</formula>
    </cfRule>
  </conditionalFormatting>
  <conditionalFormatting sqref="E23:E23">
    <cfRule type="expression" dxfId="250" priority="41">
      <formula>OR($E23="Needs answer",$E23="Explain why",LEFT($E23,6)="Review")</formula>
    </cfRule>
  </conditionalFormatting>
  <conditionalFormatting sqref="B24:E24">
    <cfRule type="expression" dxfId="251" priority="42">
      <formula>$E24="Not applicable"</formula>
    </cfRule>
  </conditionalFormatting>
  <conditionalFormatting sqref="E24:E24">
    <cfRule type="expression" dxfId="252" priority="43">
      <formula>OR($E24="Needs answer",$E24="Explain why",LEFT($E24,6)="Review")</formula>
    </cfRule>
  </conditionalFormatting>
  <conditionalFormatting sqref="B25:E25">
    <cfRule type="expression" dxfId="253" priority="44">
      <formula>$E25="Not applicable"</formula>
    </cfRule>
  </conditionalFormatting>
  <conditionalFormatting sqref="E25:E25">
    <cfRule type="expression" dxfId="254" priority="45">
      <formula>OR($E25="Needs answer",$E25="Explain why",LEFT($E25,6)="Review")</formula>
    </cfRule>
  </conditionalFormatting>
  <conditionalFormatting sqref="B26:E26">
    <cfRule type="expression" dxfId="255" priority="46">
      <formula>$E26="Not applicable"</formula>
    </cfRule>
  </conditionalFormatting>
  <conditionalFormatting sqref="E26:E26">
    <cfRule type="expression" dxfId="256" priority="47">
      <formula>OR($E26="Needs answer",$E26="Explain why",LEFT($E26,6)="Review")</formula>
    </cfRule>
  </conditionalFormatting>
  <conditionalFormatting sqref="B27:E27">
    <cfRule type="expression" dxfId="257" priority="48">
      <formula>$E27="Not applicable"</formula>
    </cfRule>
  </conditionalFormatting>
  <conditionalFormatting sqref="E27:E27">
    <cfRule type="expression" dxfId="258" priority="49">
      <formula>OR($E27="Needs answer",$E27="Explain why",LEFT($E27,6)="Review")</formula>
    </cfRule>
  </conditionalFormatting>
  <conditionalFormatting sqref="B28:E28">
    <cfRule type="expression" dxfId="259" priority="50">
      <formula>$E28="Not applicable"</formula>
    </cfRule>
  </conditionalFormatting>
  <conditionalFormatting sqref="E28:E28">
    <cfRule type="expression" dxfId="260" priority="51">
      <formula>OR($E28="Needs answer",$E28="Explain why",LEFT($E28,6)="Review")</formula>
    </cfRule>
  </conditionalFormatting>
  <conditionalFormatting sqref="B29:E29">
    <cfRule type="expression" dxfId="261" priority="52">
      <formula>$E29="Not applicable"</formula>
    </cfRule>
  </conditionalFormatting>
  <conditionalFormatting sqref="E29:E29">
    <cfRule type="expression" dxfId="262" priority="53">
      <formula>OR($E29="Needs answer",$E29="Explain why",LEFT($E29,6)="Review")</formula>
    </cfRule>
  </conditionalFormatting>
  <conditionalFormatting sqref="B30:E30">
    <cfRule type="expression" dxfId="263" priority="54">
      <formula>$E30="Not applicable"</formula>
    </cfRule>
  </conditionalFormatting>
  <conditionalFormatting sqref="E30:E30">
    <cfRule type="expression" dxfId="264" priority="55">
      <formula>OR($E30="Needs answer",$E30="Explain why",LEFT($E30,6)="Review")</formula>
    </cfRule>
  </conditionalFormatting>
  <conditionalFormatting sqref="B31:E31">
    <cfRule type="expression" dxfId="265" priority="56">
      <formula>$E31="Not applicable"</formula>
    </cfRule>
  </conditionalFormatting>
  <conditionalFormatting sqref="E31:E31">
    <cfRule type="expression" dxfId="266" priority="57">
      <formula>OR($E31="Needs answer",$E31="Explain why",LEFT($E31,6)="Review")</formula>
    </cfRule>
  </conditionalFormatting>
  <conditionalFormatting sqref="B32:E32">
    <cfRule type="expression" dxfId="267" priority="58">
      <formula>$E32="Not applicable"</formula>
    </cfRule>
  </conditionalFormatting>
  <conditionalFormatting sqref="E32:E32">
    <cfRule type="expression" dxfId="268" priority="59">
      <formula>OR($E32="Needs answer",$E32="Explain why",LEFT($E32,6)="Review")</formula>
    </cfRule>
  </conditionalFormatting>
  <conditionalFormatting sqref="B33:E33">
    <cfRule type="expression" dxfId="269" priority="60">
      <formula>$E33="Not applicable"</formula>
    </cfRule>
  </conditionalFormatting>
  <conditionalFormatting sqref="E33:E33">
    <cfRule type="expression" dxfId="270" priority="61">
      <formula>OR($E33="Needs answer",$E33="Explain why",LEFT($E33,6)="Review")</formula>
    </cfRule>
  </conditionalFormatting>
  <conditionalFormatting sqref="B34:E34">
    <cfRule type="expression" dxfId="271" priority="62">
      <formula>$E34="Not applicable"</formula>
    </cfRule>
  </conditionalFormatting>
  <conditionalFormatting sqref="E34:E34">
    <cfRule type="expression" dxfId="272" priority="63">
      <formula>OR($E34="Needs answer",$E34="Explain why",LEFT($E34,6)="Review")</formula>
    </cfRule>
  </conditionalFormatting>
  <conditionalFormatting sqref="B35:E35">
    <cfRule type="expression" dxfId="273" priority="64">
      <formula>$E35="Not applicable"</formula>
    </cfRule>
  </conditionalFormatting>
  <conditionalFormatting sqref="E35:E35">
    <cfRule type="expression" dxfId="274" priority="65">
      <formula>OR($E35="Needs answer",$E35="Explain why",LEFT($E35,6)="Review")</formula>
    </cfRule>
  </conditionalFormatting>
  <conditionalFormatting sqref="B36:E36">
    <cfRule type="expression" dxfId="275" priority="66">
      <formula>$E36="Not applicable"</formula>
    </cfRule>
  </conditionalFormatting>
  <conditionalFormatting sqref="E36:E36">
    <cfRule type="expression" dxfId="276" priority="67">
      <formula>OR($E36="Needs answer",$E36="Explain why",LEFT($E36,6)="Review")</formula>
    </cfRule>
  </conditionalFormatting>
  <conditionalFormatting sqref="B37:E37">
    <cfRule type="expression" dxfId="277" priority="68">
      <formula>$E37="Not applicable"</formula>
    </cfRule>
  </conditionalFormatting>
  <conditionalFormatting sqref="E37:E37">
    <cfRule type="expression" dxfId="278" priority="69">
      <formula>OR($E37="Needs answer",$E37="Explain why",LEFT($E37,6)="Review")</formula>
    </cfRule>
  </conditionalFormatting>
  <conditionalFormatting sqref="B38:E38">
    <cfRule type="expression" dxfId="279" priority="70">
      <formula>$E38="Not applicable"</formula>
    </cfRule>
  </conditionalFormatting>
  <conditionalFormatting sqref="E38:E38">
    <cfRule type="expression" dxfId="280" priority="71">
      <formula>OR($E38="Needs answer",$E38="Explain why",LEFT($E38,6)="Review")</formula>
    </cfRule>
  </conditionalFormatting>
  <conditionalFormatting sqref="B39:E39">
    <cfRule type="expression" dxfId="281" priority="72">
      <formula>$E39="Not applicable"</formula>
    </cfRule>
  </conditionalFormatting>
  <conditionalFormatting sqref="E39:E39">
    <cfRule type="expression" dxfId="282" priority="73">
      <formula>OR($E39="Needs answer",$E39="Explain why",LEFT($E39,6)="Review")</formula>
    </cfRule>
  </conditionalFormatting>
  <conditionalFormatting sqref="B40:E40">
    <cfRule type="expression" dxfId="283" priority="74">
      <formula>$E40="Not applicable"</formula>
    </cfRule>
  </conditionalFormatting>
  <conditionalFormatting sqref="E40:E40">
    <cfRule type="expression" dxfId="284" priority="75">
      <formula>OR($E40="Needs answer",$E40="Explain why",LEFT($E40,6)="Review")</formula>
    </cfRule>
  </conditionalFormatting>
  <conditionalFormatting sqref="B41:E41">
    <cfRule type="expression" dxfId="285" priority="76">
      <formula>$E41="Not applicable"</formula>
    </cfRule>
  </conditionalFormatting>
  <conditionalFormatting sqref="E41:E41">
    <cfRule type="expression" dxfId="286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forensic_history</v>
      </c>
      <c r="B10" s="13" t="str">
        <v>Forensic history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forensic_timeline</v>
      </c>
      <c r="B11" s="21" t="inlineStr">
        <is>
          <r>
            <rPr>
              <b/>
              <sz val="12"/>
              <color rgb="FF233B32"/>
            </rPr>
            <t>Forensic timeline</t>
          </r>
          <r>
            <rPr>
              <b val="0"/>
              <sz val="10"/>
              <color rgb="FF59675F"/>
            </rPr>
            <t xml:space="preserve">
Optional. Record an approximate date, event, and outcome in each row.</t>
          </r>
        </is>
      </c>
      <c r="C11" t="str" s="50"/>
      <c r="D11" t="str" s="48"/>
      <c r="E11" s="16" t="str">
        <f>IF(NOT(TRUE),IF(OR(LEN(TRIM(C11&amp;""&amp;C12&amp;""&amp;C13&amp;""&amp;C14&amp;""&amp;C15&amp;""&amp;C16&amp;""&amp;C17&amp;""&amp;C18&amp;""&amp;C19&amp;""&amp;C20&amp;""&amp;C21&amp;""&amp;C22&amp;""&amp;C23&amp;""&amp;C24))&gt;0,LEN(TRIM(D11))&gt;0),"Review previous answer","Not applicable"),IF(AND(LEN(TRIM(D11))&gt;0,NOT(FALSE)),"Review previous reason",IF(AND(FALSE,NOT(LEN(TRIM(D11))&gt;0)),"Explain why",IF(LEN(TRIM(C11&amp;""&amp;C12&amp;""&amp;C13&amp;""&amp;C14&amp;""&amp;C15&amp;""&amp;C16&amp;""&amp;C17&amp;""&amp;C18&amp;""&amp;C19&amp;""&amp;C20&amp;""&amp;C21&amp;""&amp;C22&amp;""&amp;C23&amp;""&amp;C24))&gt;0,"Answered",IF(FALSE,"Needs answer","Optional")))))</f>
        <v>Optional</v>
      </c>
    </row>
    <row r="12" ht="88" customHeight="1" hidden="1">
      <c r="A12" s="3" t="str">
        <v>forensic_timeline:1</v>
      </c>
      <c r="B12" s="3" t="str">
        <v>Forensic timeline (continued)</v>
      </c>
      <c r="C12" t="str" s="57"/>
      <c r="D12" s="3" t="str"/>
      <c r="E12" s="3"/>
    </row>
    <row r="13" ht="88" customHeight="1" hidden="1">
      <c r="A13" s="3" t="str">
        <v>forensic_timeline:2</v>
      </c>
      <c r="B13" s="3" t="str">
        <v>Forensic timeline (continued)</v>
      </c>
      <c r="C13" t="str" s="57"/>
      <c r="D13" s="3" t="str"/>
      <c r="E13" s="3"/>
    </row>
    <row r="14" ht="88" customHeight="1" hidden="1">
      <c r="A14" s="3" t="str">
        <v>forensic_timeline:3</v>
      </c>
      <c r="B14" s="3" t="str">
        <v>Forensic timeline (continued)</v>
      </c>
      <c r="C14" t="str" s="57"/>
      <c r="D14" s="3" t="str"/>
      <c r="E14" s="3"/>
    </row>
    <row r="15" ht="88" customHeight="1" hidden="1">
      <c r="A15" s="3" t="str">
        <v>forensic_timeline:4</v>
      </c>
      <c r="B15" s="3" t="str">
        <v>Forensic timeline (continued)</v>
      </c>
      <c r="C15" t="str" s="57"/>
      <c r="D15" s="3" t="str"/>
      <c r="E15" s="3"/>
    </row>
    <row r="16" ht="88" customHeight="1" hidden="1">
      <c r="A16" s="3" t="str">
        <v>forensic_timeline:5</v>
      </c>
      <c r="B16" s="3" t="str">
        <v>Forensic timeline (continued)</v>
      </c>
      <c r="C16" t="str" s="57"/>
      <c r="D16" s="3" t="str"/>
      <c r="E16" s="3"/>
    </row>
    <row r="17" ht="88" customHeight="1" hidden="1">
      <c r="A17" s="3" t="str">
        <v>forensic_timeline:6</v>
      </c>
      <c r="B17" s="3" t="str">
        <v>Forensic timeline (continued)</v>
      </c>
      <c r="C17" t="str" s="57"/>
      <c r="D17" s="3" t="str"/>
      <c r="E17" s="3"/>
    </row>
    <row r="18" ht="88" customHeight="1" hidden="1">
      <c r="A18" s="3" t="str">
        <v>forensic_timeline:7</v>
      </c>
      <c r="B18" s="3" t="str">
        <v>Forensic timeline (continued)</v>
      </c>
      <c r="C18" t="str" s="57"/>
      <c r="D18" s="3" t="str"/>
      <c r="E18" s="3"/>
    </row>
    <row r="19" ht="88" customHeight="1" hidden="1">
      <c r="A19" s="3" t="str">
        <v>forensic_timeline:8</v>
      </c>
      <c r="B19" s="3" t="str">
        <v>Forensic timeline (continued)</v>
      </c>
      <c r="C19" t="str" s="57"/>
      <c r="D19" s="3" t="str"/>
      <c r="E19" s="3"/>
    </row>
    <row r="20" ht="88" customHeight="1" hidden="1">
      <c r="A20" s="3" t="str">
        <v>forensic_timeline:9</v>
      </c>
      <c r="B20" s="3" t="str">
        <v>Forensic timeline (continued)</v>
      </c>
      <c r="C20" t="str" s="57"/>
      <c r="D20" s="3" t="str"/>
      <c r="E20" s="3"/>
    </row>
    <row r="21" ht="88" customHeight="1" hidden="1">
      <c r="A21" s="3" t="str">
        <v>forensic_timeline:10</v>
      </c>
      <c r="B21" s="3" t="str">
        <v>Forensic timeline (continued)</v>
      </c>
      <c r="C21" t="str" s="57"/>
      <c r="D21" s="3" t="str"/>
      <c r="E21" s="3"/>
    </row>
    <row r="22" ht="88" customHeight="1" hidden="1">
      <c r="A22" s="3" t="str">
        <v>forensic_timeline:11</v>
      </c>
      <c r="B22" s="3" t="str">
        <v>Forensic timeline (continued)</v>
      </c>
      <c r="C22" t="str" s="57"/>
      <c r="D22" s="3" t="str"/>
      <c r="E22" s="3"/>
    </row>
    <row r="23" ht="88" customHeight="1" hidden="1">
      <c r="A23" s="3" t="str">
        <v>forensic_timeline:12</v>
      </c>
      <c r="B23" s="3" t="str">
        <v>Forensic timeline (continued)</v>
      </c>
      <c r="C23" t="str" s="57"/>
      <c r="D23" s="3" t="str"/>
      <c r="E23" s="3"/>
    </row>
    <row r="24" ht="88" customHeight="1" hidden="1">
      <c r="A24" s="3" t="str">
        <v>forensic_timeline:13</v>
      </c>
      <c r="B24" s="3" t="str">
        <v>Forensic timeline (continued)</v>
      </c>
      <c r="C24" t="str" s="57"/>
      <c r="D24" s="3" t="str"/>
      <c r="E24" s="3"/>
    </row>
    <row r="25" ht="34" customHeight="1">
      <c r="A25" s="3" t="str">
        <v>pc290_registration</v>
      </c>
      <c r="B25" s="13" t="str">
        <v>PC 290 registration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34" customHeight="1">
      <c r="A26" s="3" t="str">
        <v>arson_history</v>
      </c>
      <c r="B26" s="13" t="str">
        <v>Arson history</v>
      </c>
      <c r="C26" t="str" s="50"/>
      <c r="D26" t="str" s="48"/>
      <c r="E26" s="16" t="str">
        <f>IF(NOT(TRUE),IF(OR(LEN(TRIM(C26))&gt;0,LEN(TRIM(D26))&gt;0),"Review previous answer","Not applicable"),IF(AND(LEN(TRIM(D26))&gt;0,NOT(OR(LOWER(TRIM(C26))="unable to assess",C26="unable_to_assess"))),"Review previous reason",IF(AND(OR(LOWER(TRIM(C26))="unable to assess",C26="unable_to_assess"),NOT(LEN(TRIM(D26))&gt;0)),"Explain why",IF(LEN(TRIM(C26))&gt;0,"Answered",IF(TRUE,"Needs answer","Optional")))))</f>
        <v>Needs answer</v>
      </c>
    </row>
    <row r="27" ht="34" customHeight="1">
      <c r="A27" s="3" t="str">
        <v>diversion_client</v>
      </c>
      <c r="B27" s="13" t="str">
        <v>Diversion client</v>
      </c>
      <c r="C27" t="str" s="50"/>
      <c r="D27" t="str" s="48"/>
      <c r="E27" s="16" t="str">
        <f>IF(NOT(TRUE),IF(OR(LEN(TRIM(C27))&gt;0,LEN(TRIM(D27))&gt;0),"Review previous answer","Not applicable"),IF(AND(LEN(TRIM(D27))&gt;0,NOT(OR(LOWER(TRIM(C27))="unable to assess",C27="unable_to_assess"))),"Review previous reason",IF(AND(OR(LOWER(TRIM(C27))="unable to assess",C27="unable_to_assess"),NOT(LEN(TRIM(D27))&gt;0)),"Explain why",IF(LEN(TRIM(C27))&gt;0,"Answered",IF(TRUE,"Needs answer","Optional")))))</f>
        <v>Needs answer</v>
      </c>
    </row>
    <row r="28" ht="72" customHeight="1">
      <c r="A28" s="3" t="str">
        <v>court_requirements</v>
      </c>
      <c r="B28" s="13" t="str">
        <v>Court requirements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72" customHeight="1">
      <c r="A29" s="3" t="str">
        <v>court_dates</v>
      </c>
      <c r="B29" s="13" t="str">
        <v>Court dates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72" customHeight="1">
      <c r="A30" s="3" t="str">
        <v>probation_parole_justice</v>
      </c>
      <c r="B30" s="13" t="str">
        <v>Probation / parole / justice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forensic_involvement</v>
      </c>
      <c r="B31" s="13" t="str">
        <v>Forensic involvement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34" customHeight="1">
      <c r="A32" s="3" t="str">
        <v>forensic_involvement_details</v>
      </c>
      <c r="B32" s="13" t="str">
        <v>Forensic involvement details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arrest_history</v>
      </c>
      <c r="B33" s="13" t="str">
        <v>History of arrest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most_recent_arrest_date</v>
      </c>
      <c r="B34" s="13" t="str">
        <v>Most recent arrest date</v>
      </c>
      <c r="C34" t="str" s="51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most_recent_arrest_charge</v>
      </c>
      <c r="B35" s="13" t="str">
        <v>Most recent arrest charge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most_recent_arrest_jail_time</v>
      </c>
      <c r="B36" s="13" t="str">
        <v>Time in jail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arrest_in_last_two_years</v>
      </c>
      <c r="B37" s="13" t="str">
        <v>Arrest in the last two years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arrest_last_two_years_details</v>
      </c>
      <c r="B38" s="13" t="str">
        <v>Recent arrest details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34" customHeight="1">
      <c r="A39" s="3" t="str">
        <v>total_arrests</v>
      </c>
      <c r="B39" s="13" t="str">
        <v>Total recorded arrests</v>
      </c>
      <c r="C39" t="str" s="58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7" priority="1">
      <formula>$E6="Not applicable"</formula>
    </cfRule>
  </conditionalFormatting>
  <conditionalFormatting sqref="E6:E6">
    <cfRule type="expression" dxfId="288" priority="2">
      <formula>OR($E6="Needs answer",$E6="Explain why",LEFT($E6,6)="Review")</formula>
    </cfRule>
  </conditionalFormatting>
  <conditionalFormatting sqref="B7:E7">
    <cfRule type="expression" dxfId="289" priority="3">
      <formula>$E7="Not applicable"</formula>
    </cfRule>
  </conditionalFormatting>
  <conditionalFormatting sqref="E7:E7">
    <cfRule type="expression" dxfId="290" priority="4">
      <formula>OR($E7="Needs answer",$E7="Explain why",LEFT($E7,6)="Review")</formula>
    </cfRule>
  </conditionalFormatting>
  <conditionalFormatting sqref="B8:E8">
    <cfRule type="expression" dxfId="291" priority="5">
      <formula>$E8="Not applicable"</formula>
    </cfRule>
  </conditionalFormatting>
  <conditionalFormatting sqref="E8:E8">
    <cfRule type="expression" dxfId="292" priority="6">
      <formula>OR($E8="Needs answer",$E8="Explain why",LEFT($E8,6)="Review")</formula>
    </cfRule>
  </conditionalFormatting>
  <conditionalFormatting sqref="B9:E9">
    <cfRule type="expression" dxfId="293" priority="7">
      <formula>$E9="Not applicable"</formula>
    </cfRule>
  </conditionalFormatting>
  <conditionalFormatting sqref="E9:E9">
    <cfRule type="expression" dxfId="294" priority="8">
      <formula>OR($E9="Needs answer",$E9="Explain why",LEFT($E9,6)="Review")</formula>
    </cfRule>
  </conditionalFormatting>
  <conditionalFormatting sqref="B10:E10">
    <cfRule type="expression" dxfId="295" priority="9">
      <formula>$E10="Not applicable"</formula>
    </cfRule>
  </conditionalFormatting>
  <conditionalFormatting sqref="E10:E10">
    <cfRule type="expression" dxfId="296" priority="10">
      <formula>OR($E10="Needs answer",$E10="Explain why",LEFT($E10,6)="Review")</formula>
    </cfRule>
  </conditionalFormatting>
  <conditionalFormatting sqref="B11:E11">
    <cfRule type="expression" dxfId="297" priority="11">
      <formula>$E11="Not applicable"</formula>
    </cfRule>
  </conditionalFormatting>
  <conditionalFormatting sqref="E11:E11">
    <cfRule type="expression" dxfId="298" priority="12">
      <formula>OR($E11="Needs answer",$E11="Explain why",LEFT($E11,6)="Review")</formula>
    </cfRule>
  </conditionalFormatting>
  <conditionalFormatting sqref="B25:E25">
    <cfRule type="expression" dxfId="299" priority="13">
      <formula>$E25="Not applicable"</formula>
    </cfRule>
  </conditionalFormatting>
  <conditionalFormatting sqref="E25:E25">
    <cfRule type="expression" dxfId="300" priority="14">
      <formula>OR($E25="Needs answer",$E25="Explain why",LEFT($E25,6)="Review")</formula>
    </cfRule>
  </conditionalFormatting>
  <conditionalFormatting sqref="D25:D25">
    <cfRule type="expression" dxfId="301" priority="15">
      <formula>OR($C25="Unable to assess",$C25="unable_to_assess")</formula>
    </cfRule>
  </conditionalFormatting>
  <conditionalFormatting sqref="B26:E26">
    <cfRule type="expression" dxfId="302" priority="16">
      <formula>$E26="Not applicable"</formula>
    </cfRule>
  </conditionalFormatting>
  <conditionalFormatting sqref="E26:E26">
    <cfRule type="expression" dxfId="303" priority="17">
      <formula>OR($E26="Needs answer",$E26="Explain why",LEFT($E26,6)="Review")</formula>
    </cfRule>
  </conditionalFormatting>
  <conditionalFormatting sqref="D26:D26">
    <cfRule type="expression" dxfId="304" priority="18">
      <formula>OR($C26="Unable to assess",$C26="unable_to_assess")</formula>
    </cfRule>
  </conditionalFormatting>
  <conditionalFormatting sqref="B27:E27">
    <cfRule type="expression" dxfId="305" priority="19">
      <formula>$E27="Not applicable"</formula>
    </cfRule>
  </conditionalFormatting>
  <conditionalFormatting sqref="E27:E27">
    <cfRule type="expression" dxfId="306" priority="20">
      <formula>OR($E27="Needs answer",$E27="Explain why",LEFT($E27,6)="Review")</formula>
    </cfRule>
  </conditionalFormatting>
  <conditionalFormatting sqref="D27:D27">
    <cfRule type="expression" dxfId="307" priority="21">
      <formula>OR($C27="Unable to assess",$C27="unable_to_assess")</formula>
    </cfRule>
  </conditionalFormatting>
  <conditionalFormatting sqref="B28:E28">
    <cfRule type="expression" dxfId="308" priority="22">
      <formula>$E28="Not applicable"</formula>
    </cfRule>
  </conditionalFormatting>
  <conditionalFormatting sqref="E28:E28">
    <cfRule type="expression" dxfId="309" priority="23">
      <formula>OR($E28="Needs answer",$E28="Explain why",LEFT($E28,6)="Review")</formula>
    </cfRule>
  </conditionalFormatting>
  <conditionalFormatting sqref="B29:E29">
    <cfRule type="expression" dxfId="310" priority="24">
      <formula>$E29="Not applicable"</formula>
    </cfRule>
  </conditionalFormatting>
  <conditionalFormatting sqref="E29:E29">
    <cfRule type="expression" dxfId="311" priority="25">
      <formula>OR($E29="Needs answer",$E29="Explain why",LEFT($E29,6)="Review")</formula>
    </cfRule>
  </conditionalFormatting>
  <conditionalFormatting sqref="B30:E30">
    <cfRule type="expression" dxfId="312" priority="26">
      <formula>$E30="Not applicable"</formula>
    </cfRule>
  </conditionalFormatting>
  <conditionalFormatting sqref="E30:E30">
    <cfRule type="expression" dxfId="313" priority="27">
      <formula>OR($E30="Needs answer",$E30="Explain why",LEFT($E30,6)="Review")</formula>
    </cfRule>
  </conditionalFormatting>
  <conditionalFormatting sqref="B31:E31">
    <cfRule type="expression" dxfId="314" priority="28">
      <formula>$E31="Not applicable"</formula>
    </cfRule>
  </conditionalFormatting>
  <conditionalFormatting sqref="E31:E31">
    <cfRule type="expression" dxfId="315" priority="29">
      <formula>OR($E31="Needs answer",$E31="Explain why",LEFT($E31,6)="Review")</formula>
    </cfRule>
  </conditionalFormatting>
  <conditionalFormatting sqref="B32:E32">
    <cfRule type="expression" dxfId="316" priority="30">
      <formula>$E32="Not applicable"</formula>
    </cfRule>
  </conditionalFormatting>
  <conditionalFormatting sqref="E32:E32">
    <cfRule type="expression" dxfId="317" priority="31">
      <formula>OR($E32="Needs answer",$E32="Explain why",LEFT($E32,6)="Review")</formula>
    </cfRule>
  </conditionalFormatting>
  <conditionalFormatting sqref="B33:E33">
    <cfRule type="expression" dxfId="318" priority="32">
      <formula>$E33="Not applicable"</formula>
    </cfRule>
  </conditionalFormatting>
  <conditionalFormatting sqref="E33:E33">
    <cfRule type="expression" dxfId="319" priority="33">
      <formula>OR($E33="Needs answer",$E33="Explain why",LEFT($E33,6)="Review")</formula>
    </cfRule>
  </conditionalFormatting>
  <conditionalFormatting sqref="B34:E34">
    <cfRule type="expression" dxfId="320" priority="34">
      <formula>$E34="Not applicable"</formula>
    </cfRule>
  </conditionalFormatting>
  <conditionalFormatting sqref="E34:E34">
    <cfRule type="expression" dxfId="321" priority="35">
      <formula>OR($E34="Needs answer",$E34="Explain why",LEFT($E34,6)="Review")</formula>
    </cfRule>
  </conditionalFormatting>
  <conditionalFormatting sqref="B35:E35">
    <cfRule type="expression" dxfId="322" priority="36">
      <formula>$E35="Not applicable"</formula>
    </cfRule>
  </conditionalFormatting>
  <conditionalFormatting sqref="E35:E35">
    <cfRule type="expression" dxfId="323" priority="37">
      <formula>OR($E35="Needs answer",$E35="Explain why",LEFT($E35,6)="Review")</formula>
    </cfRule>
  </conditionalFormatting>
  <conditionalFormatting sqref="B36:E36">
    <cfRule type="expression" dxfId="324" priority="38">
      <formula>$E36="Not applicable"</formula>
    </cfRule>
  </conditionalFormatting>
  <conditionalFormatting sqref="E36:E36">
    <cfRule type="expression" dxfId="325" priority="39">
      <formula>OR($E36="Needs answer",$E36="Explain why",LEFT($E36,6)="Review")</formula>
    </cfRule>
  </conditionalFormatting>
  <conditionalFormatting sqref="B37:E37">
    <cfRule type="expression" dxfId="326" priority="40">
      <formula>$E37="Not applicable"</formula>
    </cfRule>
  </conditionalFormatting>
  <conditionalFormatting sqref="E37:E37">
    <cfRule type="expression" dxfId="327" priority="41">
      <formula>OR($E37="Needs answer",$E37="Explain why",LEFT($E37,6)="Review")</formula>
    </cfRule>
  </conditionalFormatting>
  <conditionalFormatting sqref="B38:E38">
    <cfRule type="expression" dxfId="328" priority="42">
      <formula>$E38="Not applicable"</formula>
    </cfRule>
  </conditionalFormatting>
  <conditionalFormatting sqref="E38:E38">
    <cfRule type="expression" dxfId="329" priority="43">
      <formula>OR($E38="Needs answer",$E38="Explain why",LEFT($E38,6)="Review")</formula>
    </cfRule>
  </conditionalFormatting>
  <conditionalFormatting sqref="B39:E39">
    <cfRule type="expression" dxfId="330" priority="44">
      <formula>$E39="Not applicable"</formula>
    </cfRule>
  </conditionalFormatting>
  <conditionalFormatting sqref="E39:E39">
    <cfRule type="expression" dxfId="331" priority="45">
      <formula>OR($E39="Needs answer",$E39="Explain why",LEFT($E39,6)="Review")</formula>
    </cfRule>
  </conditionalFormatting>
  <dataValidations count="4">
    <dataValidation type="list" sqref="C6">
      <formula1>"LPS,TCon,Murphy's,Non-Conserved"</formula1>
    </dataValidation>
    <dataValidation type="list" sqref="C25">
      <formula1>"Yes,No,Unable to assess"</formula1>
    </dataValidation>
    <dataValidation type="list" sqref="C26">
      <formula1>"Yes,No,Unable to assess"</formula1>
    </dataValidation>
    <dataValidation type="list" sqref="C2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21" t="inlineStr">
        <is>
          <r>
            <rPr>
              <b/>
              <sz val="12"/>
              <color rgb="FF233B32"/>
            </rPr>
            <t>Earlier living-situation answer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72" customHeight="1">
      <c r="A9" s="3" t="str">
        <v>housing_history</v>
      </c>
      <c r="B9" s="13" t="str">
        <v>Home and 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preferred_facility_characteristics</v>
      </c>
      <c r="B11" s="13" t="str">
        <v>Preferred facility characteristics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discharge_planning_goals</v>
      </c>
      <c r="B12" s="13" t="str">
        <v>Discharge planning goals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72" customHeight="1">
      <c r="A13" s="3" t="str">
        <v>placement_preferences_concerns</v>
      </c>
      <c r="B13" s="13" t="str">
        <v>Placement preferences and concerns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32" priority="1">
      <formula>$E6="Not applicable"</formula>
    </cfRule>
  </conditionalFormatting>
  <conditionalFormatting sqref="E6:E6">
    <cfRule type="expression" dxfId="333" priority="2">
      <formula>OR($E6="Needs answer",$E6="Explain why",LEFT($E6,6)="Review")</formula>
    </cfRule>
  </conditionalFormatting>
  <conditionalFormatting sqref="B7:E7">
    <cfRule type="expression" dxfId="334" priority="3">
      <formula>$E7="Not applicable"</formula>
    </cfRule>
  </conditionalFormatting>
  <conditionalFormatting sqref="E7:E7">
    <cfRule type="expression" dxfId="335" priority="4">
      <formula>OR($E7="Needs answer",$E7="Explain why",LEFT($E7,6)="Review")</formula>
    </cfRule>
  </conditionalFormatting>
  <conditionalFormatting sqref="B8:E8">
    <cfRule type="expression" dxfId="336" priority="5">
      <formula>$E8="Not applicable"</formula>
    </cfRule>
  </conditionalFormatting>
  <conditionalFormatting sqref="E8:E8">
    <cfRule type="expression" dxfId="337" priority="6">
      <formula>OR($E8="Needs answer",$E8="Explain why",LEFT($E8,6)="Review")</formula>
    </cfRule>
  </conditionalFormatting>
  <conditionalFormatting sqref="B9:E9">
    <cfRule type="expression" dxfId="338" priority="7">
      <formula>$E9="Not applicable"</formula>
    </cfRule>
  </conditionalFormatting>
  <conditionalFormatting sqref="E9:E9">
    <cfRule type="expression" dxfId="339" priority="8">
      <formula>OR($E9="Needs answer",$E9="Explain why",LEFT($E9,6)="Review")</formula>
    </cfRule>
  </conditionalFormatting>
  <conditionalFormatting sqref="B10:E10">
    <cfRule type="expression" dxfId="340" priority="9">
      <formula>$E10="Not applicable"</formula>
    </cfRule>
  </conditionalFormatting>
  <conditionalFormatting sqref="E10:E10">
    <cfRule type="expression" dxfId="341" priority="10">
      <formula>OR($E10="Needs answer",$E10="Explain why",LEFT($E10,6)="Review")</formula>
    </cfRule>
  </conditionalFormatting>
  <conditionalFormatting sqref="B11:E11">
    <cfRule type="expression" dxfId="342" priority="11">
      <formula>$E11="Not applicable"</formula>
    </cfRule>
  </conditionalFormatting>
  <conditionalFormatting sqref="E11:E11">
    <cfRule type="expression" dxfId="343" priority="12">
      <formula>OR($E11="Needs answer",$E11="Explain why",LEFT($E11,6)="Review")</formula>
    </cfRule>
  </conditionalFormatting>
  <conditionalFormatting sqref="B12:E12">
    <cfRule type="expression" dxfId="344" priority="13">
      <formula>$E12="Not applicable"</formula>
    </cfRule>
  </conditionalFormatting>
  <conditionalFormatting sqref="E12:E12">
    <cfRule type="expression" dxfId="345" priority="14">
      <formula>OR($E12="Needs answer",$E12="Explain why",LEFT($E12,6)="Review")</formula>
    </cfRule>
  </conditionalFormatting>
  <conditionalFormatting sqref="B13:E13">
    <cfRule type="expression" dxfId="346" priority="15">
      <formula>$E13="Not applicable"</formula>
    </cfRule>
  </conditionalFormatting>
  <conditionalFormatting sqref="E13:E13">
    <cfRule type="expression" dxfId="347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history'!E6:E26,"Needs answer")+COUNTIF('07 Recent care and history'!E6:E26,"Explain why")</f>
        <v>0</v>
      </c>
      <c r="D24" s="31" t="n">
        <f>COUNTIF('07 Recent care and history'!E6:E26,"Review previous answer")+COUNTIF('07 Recent care and history'!E6:E26,"Review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support'!E6:E39,"Needs answer")+COUNTIF('10 Decisions and legal support'!E6:E39,"Explain why")</f>
        <v>4</v>
      </c>
      <c r="D27" s="31" t="n">
        <f>COUNTIF('10 Decisions and legal support'!E6:E39,"Review previous answer")+COUNTIF('10 Decisions and legal support'!E6:E39,"Review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8" priority="1">
      <formula>$E6="Not applicable"</formula>
    </cfRule>
  </conditionalFormatting>
  <conditionalFormatting sqref="E6:E6">
    <cfRule type="expression" dxfId="349" priority="2">
      <formula>OR($E6="Needs answer",$E6="Explain why",LEFT($E6,6)="Review")</formula>
    </cfRule>
  </conditionalFormatting>
  <conditionalFormatting sqref="B7:E7">
    <cfRule type="expression" dxfId="350" priority="3">
      <formula>$E7="Not applicable"</formula>
    </cfRule>
  </conditionalFormatting>
  <conditionalFormatting sqref="E7:E7">
    <cfRule type="expression" dxfId="351" priority="4">
      <formula>OR($E7="Needs answer",$E7="Explain why",LEFT($E7,6)="Review")</formula>
    </cfRule>
  </conditionalFormatting>
  <conditionalFormatting sqref="B8:E8">
    <cfRule type="expression" dxfId="352" priority="5">
      <formula>$E8="Not applicable"</formula>
    </cfRule>
  </conditionalFormatting>
  <conditionalFormatting sqref="E8:E8">
    <cfRule type="expression" dxfId="353" priority="6">
      <formula>OR($E8="Needs answer",$E8="Explain why",LEFT($E8,6)="Review")</formula>
    </cfRule>
  </conditionalFormatting>
  <conditionalFormatting sqref="B9:E9">
    <cfRule type="expression" dxfId="354" priority="7">
      <formula>$E9="Not applicable"</formula>
    </cfRule>
  </conditionalFormatting>
  <conditionalFormatting sqref="E9:E9">
    <cfRule type="expression" dxfId="355" priority="8">
      <formula>OR($E9="Needs answer",$E9="Explain why",LEFT($E9,6)="Review")</formula>
    </cfRule>
  </conditionalFormatting>
  <conditionalFormatting sqref="B10:E10">
    <cfRule type="expression" dxfId="356" priority="9">
      <formula>$E10="Not applicable"</formula>
    </cfRule>
  </conditionalFormatting>
  <conditionalFormatting sqref="E10:E10">
    <cfRule type="expression" dxfId="357" priority="10">
      <formula>OR($E10="Needs answer",$E10="Explain why",LEFT($E10,6)="Review")</formula>
    </cfRule>
  </conditionalFormatting>
  <conditionalFormatting sqref="B11:E11">
    <cfRule type="expression" dxfId="358" priority="11">
      <formula>$E11="Not applicable"</formula>
    </cfRule>
  </conditionalFormatting>
  <conditionalFormatting sqref="E11:E11">
    <cfRule type="expression" dxfId="359" priority="12">
      <formula>OR($E11="Needs answer",$E11="Explain why",LEFT($E11,6)="Review")</formula>
    </cfRule>
  </conditionalFormatting>
  <conditionalFormatting sqref="B13:E13">
    <cfRule type="expression" dxfId="360" priority="13">
      <formula>$E13="Not applicable"</formula>
    </cfRule>
  </conditionalFormatting>
  <conditionalFormatting sqref="E13:E13">
    <cfRule type="expression" dxfId="361" priority="14">
      <formula>OR($E13="Needs answer",$E13="Explain why",LEFT($E13,6)="Review")</formula>
    </cfRule>
  </conditionalFormatting>
  <conditionalFormatting sqref="C18:D18">
    <cfRule type="cellIs" dxfId="374" priority="15" operator="greaterThan">
      <formula>0</formula>
    </cfRule>
  </conditionalFormatting>
  <conditionalFormatting sqref="C19:D19">
    <cfRule type="cellIs" dxfId="375" priority="16" operator="greaterThan">
      <formula>0</formula>
    </cfRule>
  </conditionalFormatting>
  <conditionalFormatting sqref="C20:D20">
    <cfRule type="cellIs" dxfId="376" priority="17" operator="greaterThan">
      <formula>0</formula>
    </cfRule>
  </conditionalFormatting>
  <conditionalFormatting sqref="C21:D21">
    <cfRule type="cellIs" dxfId="377" priority="18" operator="greaterThan">
      <formula>0</formula>
    </cfRule>
  </conditionalFormatting>
  <conditionalFormatting sqref="C22:D22">
    <cfRule type="cellIs" dxfId="378" priority="19" operator="greaterThan">
      <formula>0</formula>
    </cfRule>
  </conditionalFormatting>
  <conditionalFormatting sqref="C23:D23">
    <cfRule type="cellIs" dxfId="379" priority="20" operator="greaterThan">
      <formula>0</formula>
    </cfRule>
  </conditionalFormatting>
  <conditionalFormatting sqref="C24:D24">
    <cfRule type="cellIs" dxfId="380" priority="21" operator="greaterThan">
      <formula>0</formula>
    </cfRule>
  </conditionalFormatting>
  <conditionalFormatting sqref="C25:D25">
    <cfRule type="cellIs" dxfId="381" priority="22" operator="greaterThan">
      <formula>0</formula>
    </cfRule>
  </conditionalFormatting>
  <conditionalFormatting sqref="C26:D26">
    <cfRule type="cellIs" dxfId="382" priority="23" operator="greaterThan">
      <formula>0</formula>
    </cfRule>
  </conditionalFormatting>
  <conditionalFormatting sqref="C27:D27">
    <cfRule type="cellIs" dxfId="383" priority="24" operator="greaterThan">
      <formula>0</formula>
    </cfRule>
  </conditionalFormatting>
  <conditionalFormatting sqref="C28:D28">
    <cfRule type="cellIs" dxfId="384" priority="25" operator="greaterThan">
      <formula>0</formula>
    </cfRule>
  </conditionalFormatting>
  <conditionalFormatting sqref="C29:D29">
    <cfRule type="cellIs" dxfId="385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a411199d0450c15c3e8fce1cba5e44bb4ace2fe3931c189ead5e4f7a7bec55c7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hospitalization_history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hospitalization_timeline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prior_hospitalizations_count</v>
      </c>
      <c r="B85" t="str">
        <v>07 Recent care and history!C23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most_recent_hospitalization</v>
      </c>
      <c r="B86" t="str">
        <v>07 Recent care and history!C24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prior_5150_5250_holds</v>
      </c>
      <c r="B87" t="str">
        <v>07 Recent care and history!C25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crisis_er_utilization</v>
      </c>
      <c r="B88" t="str">
        <v>07 Recent care and history!C26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substance_abuse_history</v>
      </c>
      <c r="B89" t="str">
        <v>08 Substance use and recovery!C6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active_substance_use</v>
      </c>
      <c r="B90" t="str">
        <v>08 Substance use and recovery!C7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substances</v>
      </c>
      <c r="B91" t="str">
        <v>08 Substance use and recovery!C8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last_substance_use_date</v>
      </c>
      <c r="B92" t="str">
        <v>08 Substance use and recovery!C22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use_pattern</v>
      </c>
      <c r="B93" t="str">
        <v>08 Substance use and recovery!C23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substance_effect_on_baseline</v>
      </c>
      <c r="B94" t="str">
        <v>08 Substance use and recovery!C24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longest_sobriety_period</v>
      </c>
      <c r="B95" t="str">
        <v>08 Substance use and recovery!C25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substance_use_insight</v>
      </c>
      <c r="B96" t="str">
        <v>08 Substance use and recovery!C26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substance_use_insight_details</v>
      </c>
      <c r="B97" t="str">
        <v>08 Substance use and recovery!C27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treatment_history</v>
      </c>
      <c r="B98" t="str">
        <v>08 Substance use and recovery!C28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longest_sobriety_months</v>
      </c>
      <c r="B99" t="str">
        <v>08 Substance use and recovery!C29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behavioral_history</v>
      </c>
      <c r="B100" t="str">
        <v>09 Safety and support!C6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physical_altercations</v>
      </c>
      <c r="B101" t="str">
        <v>09 Safety and support!C7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physical_altercation_details</v>
      </c>
      <c r="B102" t="str">
        <v>09 Safety and support!C8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self_harm_history</v>
      </c>
      <c r="B103" t="str">
        <v>09 Safety and support!C9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last_self_harm_incident</v>
      </c>
      <c r="B104" t="str">
        <v>09 Safety and support!C10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current_self_harm_ideation</v>
      </c>
      <c r="B105" t="str">
        <v>09 Safety and support!C11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current_self_harm_details</v>
      </c>
      <c r="B106" t="str">
        <v>09 Safety and support!C12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current_safety_measures</v>
      </c>
      <c r="B107" t="str">
        <v>09 Safety and support!C13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assault_history</v>
      </c>
      <c r="B108" t="str">
        <v>09 Safety and support!C14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last_assault_details</v>
      </c>
      <c r="B109" t="str">
        <v>09 Safety and support!C15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assaults_last_two_years_count</v>
      </c>
      <c r="B110" t="str">
        <v>09 Safety and support!C16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elopement_history</v>
      </c>
      <c r="B111" t="str">
        <v>09 Safety and support!C17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elopement_risk</v>
      </c>
      <c r="B112" t="str">
        <v>09 Safety and support!C18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si_hi_history</v>
      </c>
      <c r="B113" t="str">
        <v>09 Safety and support!C19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triggers</v>
      </c>
      <c r="B114" t="str">
        <v>09 Safety and support!C20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aggression_risk</v>
      </c>
      <c r="B115" t="str">
        <v>09 Safety and support!C21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responds_to_internal_stimuli</v>
      </c>
      <c r="B116" t="str">
        <v>09 Safety and support!C22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auditory_hallucinations</v>
      </c>
      <c r="B117" t="str">
        <v>09 Safety and support!C23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auditory_hallucination_nature</v>
      </c>
      <c r="B118" t="str">
        <v>09 Safety and support!C24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auditory_hallucination_frequency</v>
      </c>
      <c r="B119" t="str">
        <v>09 Safety and support!C25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auditory_hallucination_triggers</v>
      </c>
      <c r="B120" t="str">
        <v>09 Safety and support!C26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visual_hallucinations</v>
      </c>
      <c r="B121" t="str">
        <v>09 Safety and support!C27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visual_hallucination_details</v>
      </c>
      <c r="B122" t="str">
        <v>09 Safety and support!C28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visual_hallucination_recent</v>
      </c>
      <c r="B123" t="str">
        <v>09 Safety and support!C29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olfactory_hallucinations</v>
      </c>
      <c r="B124" t="str">
        <v>09 Safety and support!C30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olfactory_hallucination_details</v>
      </c>
      <c r="B125" t="str">
        <v>09 Safety and support!C31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olfactory_hallucination_impact</v>
      </c>
      <c r="B126" t="str">
        <v>09 Safety and support!C32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tactile_hallucinations</v>
      </c>
      <c r="B127" t="str">
        <v>09 Safety and support!C33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tactile_hallucination_details</v>
      </c>
      <c r="B128" t="str">
        <v>09 Safety and support!C34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tactile_hallucination_frequency</v>
      </c>
      <c r="B129" t="str">
        <v>09 Safety and support!C35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gustatory_hallucinations</v>
      </c>
      <c r="B130" t="str">
        <v>09 Safety and support!C36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gustatory_hallucination_details</v>
      </c>
      <c r="B131" t="str">
        <v>09 Safety and support!C37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hallucination_coping_strategies</v>
      </c>
      <c r="B132" t="str">
        <v>09 Safety and support!C38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hallucination_distress_impairment</v>
      </c>
      <c r="B133" t="str">
        <v>09 Safety and support!C39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hallucination_functional_impact</v>
      </c>
      <c r="B134" t="str">
        <v>09 Safety and support!C40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hallucination_treatment_history</v>
      </c>
      <c r="B135" t="str">
        <v>09 Safety and support!C41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conservatorship_type</v>
      </c>
      <c r="B136" t="str">
        <v>10 Decisions and legal support!C6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conservator_name</v>
      </c>
      <c r="B137" t="str">
        <v>10 Decisions and legal support!C7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conservatorship_status</v>
      </c>
      <c r="B138" t="str">
        <v>10 Decisions and legal support!C8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hold_type</v>
      </c>
      <c r="B139" t="str">
        <v>10 Decisions and legal support!C9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forensic_history</v>
      </c>
      <c r="B140" t="str">
        <v>10 Decisions and legal support!C10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forensic_timeline</v>
      </c>
      <c r="B141" t="str">
        <v>10 Decisions and legal support!C11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pc290_registration</v>
      </c>
      <c r="B142" t="str">
        <v>10 Decisions and legal support!C25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arson_history</v>
      </c>
      <c r="B143" t="str">
        <v>10 Decisions and legal support!C26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diversion_client</v>
      </c>
      <c r="B144" t="str">
        <v>10 Decisions and legal support!C27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court_requirements</v>
      </c>
      <c r="B145" t="str">
        <v>10 Decisions and legal support!C28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court_dates</v>
      </c>
      <c r="B146" t="str">
        <v>10 Decisions and legal support!C29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probation_parole_justice</v>
      </c>
      <c r="B147" t="str">
        <v>10 Decisions and legal support!C30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forensic_involvement</v>
      </c>
      <c r="B148" t="str">
        <v>10 Decisions and legal support!C31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forensic_involvement_details</v>
      </c>
      <c r="B149" t="str">
        <v>10 Decisions and legal support!C32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arrest_history</v>
      </c>
      <c r="B150" t="str">
        <v>10 Decisions and legal support!C33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most_recent_arrest_date</v>
      </c>
      <c r="B151" t="str">
        <v>10 Decisions and legal support!C34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most_recent_arrest_charge</v>
      </c>
      <c r="B152" t="str">
        <v>10 Decisions and legal support!C35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most_recent_arrest_jail_time</v>
      </c>
      <c r="B153" t="str">
        <v>10 Decisions and legal support!C36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arrest_in_last_two_years</v>
      </c>
      <c r="B154" t="str">
        <v>10 Decisions and legal support!C37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arrest_last_two_years_details</v>
      </c>
      <c r="B155" t="str">
        <v>10 Decisions and legal support!C38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total_arrests</v>
      </c>
      <c r="B156" t="str">
        <v>10 Decisions and legal support!C39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family_involvement</v>
      </c>
      <c r="B157" t="str">
        <v>11 What matters next!C6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friendships_social_connections</v>
      </c>
      <c r="B158" t="str">
        <v>11 What matters next!C7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prior_living_situation</v>
      </c>
      <c r="B159" t="str">
        <v>11 What matters next!C8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housing_history</v>
      </c>
      <c r="B160" t="str">
        <v>11 What matters next!C9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benefits_income_status</v>
      </c>
      <c r="B161" t="str">
        <v>11 What matters next!C10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preferred_facility_characteristics</v>
      </c>
      <c r="B162" t="str">
        <v>11 What matters next!C11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discharge_planning_goals</v>
      </c>
      <c r="B163" t="str">
        <v>11 What matters next!C12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placement_preferences_concerns</v>
      </c>
      <c r="B164" t="str">
        <v>11 What matters next!C13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additional_information</v>
      </c>
      <c r="B165" t="str">
        <v>12 Anything else!C6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placement_process_questions</v>
      </c>
      <c r="B166" t="str">
        <v>12 Anything else!C7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unable_to_assess_reasons</v>
      </c>
      <c r="B167" t="str">
        <v>12 Anything else!C8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  <row r="168">
      <c r="A168" t="str">
        <v>source_file</v>
      </c>
      <c r="B168" t="str">
        <v>12 Anything else!C9</v>
      </c>
      <c r="C168" t="str"/>
      <c r="D168" t="str"/>
      <c r="E168" t="str"/>
      <c r="F168" t="str"/>
      <c r="G168" t="str"/>
      <c r="H168" t="str"/>
      <c r="I168" t="str"/>
      <c r="J168" t="str"/>
      <c r="K168" t="str"/>
      <c r="L168" t="str"/>
      <c r="M168" t="str"/>
      <c r="N168" t="str"/>
      <c r="O168" t="str"/>
      <c r="P168" t="str"/>
      <c r="Q168" t="str"/>
      <c r="R168" t="str"/>
    </row>
    <row r="169">
      <c r="A169" t="str">
        <v>match_confidence</v>
      </c>
      <c r="B169" t="str">
        <v>12 Anything else!C10</v>
      </c>
      <c r="C169" t="str"/>
      <c r="D169" t="str"/>
      <c r="E169" t="str"/>
      <c r="F169" t="str"/>
      <c r="G169" t="str"/>
      <c r="H169" t="str"/>
      <c r="I169" t="str"/>
      <c r="J169" t="str"/>
      <c r="K169" t="str"/>
      <c r="L169" t="str"/>
      <c r="M169" t="str"/>
      <c r="N169" t="str"/>
      <c r="O169" t="str"/>
      <c r="P169" t="str"/>
      <c r="Q169" t="str"/>
      <c r="R169" t="str"/>
    </row>
    <row r="170">
      <c r="A170" t="str">
        <v>assessment_notes</v>
      </c>
      <c r="B170" t="str">
        <v>12 Anything else!C11</v>
      </c>
      <c r="C170" t="str"/>
      <c r="D170" t="str"/>
      <c r="E170" t="str"/>
      <c r="F170" t="str"/>
      <c r="G170" t="str"/>
      <c r="H170" t="str"/>
      <c r="I170" t="str"/>
      <c r="J170" t="str"/>
      <c r="K170" t="str"/>
      <c r="L170" t="str"/>
      <c r="M170" t="str"/>
      <c r="N170" t="str"/>
      <c r="O170" t="str"/>
      <c r="P170" t="str"/>
      <c r="Q170" t="str"/>
      <c r="R170" t="str"/>
    </row>
    <row r="171">
      <c r="A171" t="str">
        <v>extraction_date</v>
      </c>
      <c r="B171" t="str">
        <v>12 Anything else!C13</v>
      </c>
      <c r="C171" t="str"/>
      <c r="D171" t="str"/>
      <c r="E171" t="str"/>
      <c r="F171" t="str"/>
      <c r="G171" t="str"/>
      <c r="H171" t="str"/>
      <c r="I171" t="str"/>
      <c r="J171" t="str"/>
      <c r="K171" t="str"/>
      <c r="L171" t="str"/>
      <c r="M171" t="str"/>
      <c r="N171" t="str"/>
      <c r="O171" t="str"/>
      <c r="P171" t="str"/>
      <c r="Q171" t="str"/>
      <c r="R171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Date assessment performed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Where the client is now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60" customHeight="1">
      <c r="A14" s="3"/>
      <c r="B14" s="29" t="str">
        <v>Diagnosis categories</v>
      </c>
      <c r="C14" s="29" t="str">
        <v>Schizophrenia; Schizoaffective disorder; Bipolar disorder; Personality disorder; Substance use disorder; Psychosis; Delusional disorder; Physical health condition; Other</v>
      </c>
      <c r="D14" s="29" t="str">
        <v>02 How things are now</v>
      </c>
      <c r="E14" s="3"/>
    </row>
    <row r="15" ht="34" customHeight="1">
      <c r="A15" s="3"/>
      <c r="B15" s="29" t="str">
        <v>Other diagnosis</v>
      </c>
      <c r="C15" s="29" t="str">
        <v>Text or notes</v>
      </c>
      <c r="D15" s="29" t="str">
        <v>02 How things are now</v>
      </c>
      <c r="E15" s="3"/>
    </row>
    <row r="16" ht="34" customHeight="1">
      <c r="A16" s="3"/>
      <c r="B16" s="29" t="str">
        <v>Secondary diagnosis</v>
      </c>
      <c r="C16" s="29" t="str">
        <v>One item per line</v>
      </c>
      <c r="D16" s="29" t="str">
        <v>02 How things are now</v>
      </c>
      <c r="E16" s="3"/>
    </row>
    <row r="17" ht="34" customHeight="1">
      <c r="A17" s="3"/>
      <c r="B17" s="29" t="str">
        <v>Current symptoms</v>
      </c>
      <c r="C17" s="29" t="str">
        <v>Text or notes</v>
      </c>
      <c r="D17" s="29" t="str">
        <v>02 How things are now</v>
      </c>
      <c r="E17" s="3"/>
    </row>
    <row r="18" ht="34" customHeight="1">
      <c r="A18" s="3"/>
      <c r="B18" s="29" t="str">
        <v>Cognition / orientation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Primary diagnosis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Acuity level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Ability to dress</v>
      </c>
      <c r="C21" s="29" t="str">
        <v>Independent; Some assistance; Total assistance</v>
      </c>
      <c r="D21" s="29" t="str">
        <v>03 A usual day</v>
      </c>
      <c r="E21" s="3"/>
    </row>
    <row r="22" ht="34" customHeight="1">
      <c r="A22" s="3"/>
      <c r="B22" s="29" t="str">
        <v>Dressing assistance needed</v>
      </c>
      <c r="C22" s="29" t="str">
        <v>Text or notes</v>
      </c>
      <c r="D22" s="29" t="str">
        <v>03 A usual day</v>
      </c>
      <c r="E22" s="3"/>
    </row>
    <row r="23" ht="34" customHeight="1">
      <c r="A23" s="3"/>
      <c r="B23" s="29" t="str">
        <v>Ability to bathe</v>
      </c>
      <c r="C23" s="29" t="str">
        <v>Independent; Some assistance; Total assistance</v>
      </c>
      <c r="D23" s="29" t="str">
        <v>03 A usual day</v>
      </c>
      <c r="E23" s="3"/>
    </row>
    <row r="24" ht="34" customHeight="1">
      <c r="A24" s="3"/>
      <c r="B24" s="29" t="str">
        <v>Bathing assistance needed</v>
      </c>
      <c r="C24" s="29" t="str">
        <v>Text or notes</v>
      </c>
      <c r="D24" s="29" t="str">
        <v>03 A usual day</v>
      </c>
      <c r="E24" s="3"/>
    </row>
    <row r="25" ht="34" customHeight="1">
      <c r="A25" s="3"/>
      <c r="B25" s="29" t="str">
        <v>Overall hygiene</v>
      </c>
      <c r="C25" s="29" t="str">
        <v>Whole number</v>
      </c>
      <c r="D25" s="29" t="str">
        <v>03 A usual day</v>
      </c>
      <c r="E25" s="3"/>
    </row>
    <row r="26" ht="34" customHeight="1">
      <c r="A26" s="3"/>
      <c r="B26" s="29" t="str">
        <v>ADL needs</v>
      </c>
      <c r="C26" s="29" t="str">
        <v>Text or notes</v>
      </c>
      <c r="D26" s="29" t="str">
        <v>03 A usual day</v>
      </c>
      <c r="E26" s="3"/>
    </row>
    <row r="27" ht="34" customHeight="1">
      <c r="A27" s="3"/>
      <c r="B27" s="29" t="str">
        <v>Prompting level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Self-care status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Ambulatory</v>
      </c>
      <c r="C29" s="29" t="str">
        <v>Yes; No; Unable to assess</v>
      </c>
      <c r="D29" s="29" t="str">
        <v>03 A usual day</v>
      </c>
      <c r="E29" s="3"/>
    </row>
    <row r="30" ht="34" customHeight="1">
      <c r="A30" s="3"/>
      <c r="B30" s="29" t="str">
        <v>Type of device</v>
      </c>
      <c r="C30" s="29" t="str">
        <v>Text or notes</v>
      </c>
      <c r="D30" s="29" t="str">
        <v>03 A usual day</v>
      </c>
      <c r="E30" s="3"/>
    </row>
    <row r="31" ht="34" customHeight="1">
      <c r="A31" s="3"/>
      <c r="B31" s="29" t="str">
        <v>Language barrier</v>
      </c>
      <c r="C31" s="29" t="str">
        <v>Yes; No; Unable to assess</v>
      </c>
      <c r="D31" s="29" t="str">
        <v>03 A usual day</v>
      </c>
      <c r="E31" s="3"/>
    </row>
    <row r="32" ht="34" customHeight="1">
      <c r="A32" s="3"/>
      <c r="B32" s="29" t="str">
        <v>Language support needed</v>
      </c>
      <c r="C32" s="29" t="str">
        <v>Text or notes</v>
      </c>
      <c r="D32" s="29" t="str">
        <v>03 A usual day</v>
      </c>
      <c r="E32" s="3"/>
    </row>
    <row r="33" ht="34" customHeight="1">
      <c r="A33" s="3"/>
      <c r="B33" s="29" t="str">
        <v>Can hold a linear conversation</v>
      </c>
      <c r="C33" s="29" t="str">
        <v>Yes; No; Unable to assess</v>
      </c>
      <c r="D33" s="29" t="str">
        <v>03 A usual day</v>
      </c>
      <c r="E33" s="3"/>
    </row>
    <row r="34" ht="34" customHeight="1">
      <c r="A34" s="3"/>
      <c r="B34" s="29" t="str">
        <v>Conversation barriers</v>
      </c>
      <c r="C34" s="29" t="str">
        <v>Text or notes</v>
      </c>
      <c r="D34" s="29" t="str">
        <v>03 A usual day</v>
      </c>
      <c r="E34" s="3"/>
    </row>
    <row r="35" ht="34" customHeight="1">
      <c r="A35" s="3"/>
      <c r="B35" s="29" t="str">
        <v>Interaction with peers</v>
      </c>
      <c r="C35" s="29" t="str">
        <v>Whole number</v>
      </c>
      <c r="D35" s="29" t="str">
        <v>03 A usual day</v>
      </c>
      <c r="E35" s="3"/>
    </row>
    <row r="36" ht="34" customHeight="1">
      <c r="A36" s="3"/>
      <c r="B36" s="29" t="str">
        <v>Peer interaction notes</v>
      </c>
      <c r="C36" s="29" t="str">
        <v>Text or notes</v>
      </c>
      <c r="D36" s="29" t="str">
        <v>03 A usual day</v>
      </c>
      <c r="E36" s="3"/>
    </row>
    <row r="37" ht="34" customHeight="1">
      <c r="A37" s="3"/>
      <c r="B37" s="29" t="str">
        <v>Interaction with staff</v>
      </c>
      <c r="C37" s="29" t="str">
        <v>Whole number</v>
      </c>
      <c r="D37" s="29" t="str">
        <v>03 A usual day</v>
      </c>
      <c r="E37" s="3"/>
    </row>
    <row r="38" ht="34" customHeight="1">
      <c r="A38" s="3"/>
      <c r="B38" s="29" t="str">
        <v>Staff interaction notes</v>
      </c>
      <c r="C38" s="29" t="str">
        <v>Text or notes</v>
      </c>
      <c r="D38" s="29" t="str">
        <v>03 A usual day</v>
      </c>
      <c r="E38" s="3"/>
    </row>
    <row r="39" ht="34" customHeight="1">
      <c r="A39" s="3"/>
      <c r="B39" s="29" t="str">
        <v>Participates in programming</v>
      </c>
      <c r="C39" s="29" t="str">
        <v>Yes; No; Unable to assess</v>
      </c>
      <c r="D39" s="29" t="str">
        <v>03 A usual day</v>
      </c>
      <c r="E39" s="3"/>
    </row>
    <row r="40" ht="34" customHeight="1">
      <c r="A40" s="3"/>
      <c r="B40" s="29" t="str">
        <v>Programming notes</v>
      </c>
      <c r="C40" s="29" t="str">
        <v>Text or notes</v>
      </c>
      <c r="D40" s="29" t="str">
        <v>03 A usual day</v>
      </c>
      <c r="E40" s="3"/>
    </row>
    <row r="41" ht="34" customHeight="1">
      <c r="A41" s="3"/>
      <c r="B41" s="29" t="str">
        <v>Physical health concerns</v>
      </c>
      <c r="C41" s="29" t="str">
        <v>Yes; No; Unable to assess</v>
      </c>
      <c r="D41" s="29" t="str">
        <v>04 Health and comfort</v>
      </c>
      <c r="E41" s="3"/>
    </row>
    <row r="42" ht="34" customHeight="1">
      <c r="A42" s="3"/>
      <c r="B42" s="29" t="str">
        <v>Physical health diagnoses</v>
      </c>
      <c r="C42" s="29" t="str">
        <v>Text or notes</v>
      </c>
      <c r="D42" s="29" t="str">
        <v>04 Health and comfort</v>
      </c>
      <c r="E42" s="3"/>
    </row>
    <row r="43" ht="34" customHeight="1">
      <c r="A43" s="3"/>
      <c r="B43" s="29" t="str">
        <v>Current health measures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Diabetic</v>
      </c>
      <c r="C44" s="29" t="str">
        <v>Yes; No; Unable to assess</v>
      </c>
      <c r="D44" s="29" t="str">
        <v>04 Health and comfort</v>
      </c>
      <c r="E44" s="3"/>
    </row>
    <row r="45" ht="34" customHeight="1">
      <c r="A45" s="3"/>
      <c r="B45" s="29" t="str">
        <v>Diabetes care details</v>
      </c>
      <c r="C45" s="29" t="str">
        <v>Text or notes</v>
      </c>
      <c r="D45" s="29" t="str">
        <v>04 Health and comfort</v>
      </c>
      <c r="E45" s="3"/>
    </row>
    <row r="46" ht="34" customHeight="1">
      <c r="A46" s="3"/>
      <c r="B46" s="29" t="str">
        <v>Special diet</v>
      </c>
      <c r="C46" s="29" t="str">
        <v>Yes; No; Unable to assess</v>
      </c>
      <c r="D46" s="29" t="str">
        <v>04 Health and comfort</v>
      </c>
      <c r="E46" s="3"/>
    </row>
    <row r="47" ht="34" customHeight="1">
      <c r="A47" s="3"/>
      <c r="B47" s="29" t="str">
        <v>Dietary restrictions</v>
      </c>
      <c r="C47" s="29" t="str">
        <v>Text or notes</v>
      </c>
      <c r="D47" s="29" t="str">
        <v>04 Health and comfort</v>
      </c>
      <c r="E47" s="3"/>
    </row>
    <row r="48" ht="34" customHeight="1">
      <c r="A48" s="3"/>
      <c r="B48" s="29" t="str">
        <v>Skin integrity issue</v>
      </c>
      <c r="C48" s="29" t="str">
        <v>Yes; No; Unable to assess</v>
      </c>
      <c r="D48" s="29" t="str">
        <v>04 Health and comfort</v>
      </c>
      <c r="E48" s="3"/>
    </row>
    <row r="49" ht="34" customHeight="1">
      <c r="A49" s="3"/>
      <c r="B49" s="29" t="str">
        <v>Skin integrity details</v>
      </c>
      <c r="C49" s="29" t="str">
        <v>Text or notes</v>
      </c>
      <c r="D49" s="29" t="str">
        <v>04 Health and comfort</v>
      </c>
      <c r="E49" s="3"/>
    </row>
    <row r="50" ht="34" customHeight="1">
      <c r="A50" s="3"/>
      <c r="B50" s="29" t="str">
        <v>Dentures</v>
      </c>
      <c r="C50" s="29" t="str">
        <v>Yes; No; Unable to assess</v>
      </c>
      <c r="D50" s="29" t="str">
        <v>04 Health and comfort</v>
      </c>
      <c r="E50" s="3"/>
    </row>
    <row r="51" ht="34" customHeight="1">
      <c r="A51" s="3"/>
      <c r="B51" s="29" t="str">
        <v>Hearing aids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Glasses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Oxygen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Hospital bed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CPAP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Catheter care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Colostomy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Ileostomy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Incontinence issues</v>
      </c>
      <c r="C59" s="29" t="str">
        <v>Yes; No; Unable to assess</v>
      </c>
      <c r="D59" s="29" t="str">
        <v>04 Health and comfort</v>
      </c>
      <c r="E59" s="3"/>
    </row>
    <row r="60" ht="44" customHeight="1">
      <c r="A60" s="3"/>
      <c r="B60" s="29" t="str">
        <v>Support</v>
      </c>
      <c r="C60" s="29" t="str">
        <v>Client independently changes briefs; Client needs help changing briefs; Client needs briefs changed</v>
      </c>
      <c r="D60" s="29" t="str">
        <v>04 Health and comfort</v>
      </c>
      <c r="E60" s="3"/>
    </row>
    <row r="61" ht="34" customHeight="1">
      <c r="A61" s="3"/>
      <c r="B61" s="29" t="str">
        <v>Additional health information</v>
      </c>
      <c r="C61" s="29" t="str">
        <v>Text or notes</v>
      </c>
      <c r="D61" s="29" t="str">
        <v>04 Health and comfort</v>
      </c>
      <c r="E61" s="3"/>
    </row>
    <row r="62" ht="34" customHeight="1">
      <c r="A62" s="3"/>
      <c r="B62" s="29" t="str">
        <v>Medication compliant</v>
      </c>
      <c r="C62" s="29" t="str">
        <v>Yes; No; Unable to assess</v>
      </c>
      <c r="D62" s="29" t="str">
        <v>05 Medication</v>
      </c>
      <c r="E62" s="3"/>
    </row>
    <row r="63" ht="34" customHeight="1">
      <c r="A63" s="3"/>
      <c r="B63" s="29" t="str">
        <v>Date of last medication refusal</v>
      </c>
      <c r="C63" s="29" t="str">
        <v>Date (YYYY-MM-DD)</v>
      </c>
      <c r="D63" s="29" t="str">
        <v>05 Medication</v>
      </c>
      <c r="E63" s="3"/>
    </row>
    <row r="64" ht="34" customHeight="1">
      <c r="A64" s="3"/>
      <c r="B64" s="29" t="str">
        <v>Medication refused</v>
      </c>
      <c r="C64" s="29" t="str">
        <v>Text or notes</v>
      </c>
      <c r="D64" s="29" t="str">
        <v>05 Medication</v>
      </c>
      <c r="E64" s="3"/>
    </row>
    <row r="65" ht="34" customHeight="1">
      <c r="A65" s="3"/>
      <c r="B65" s="29" t="str">
        <v>Refusals in the last 30 days</v>
      </c>
      <c r="C65" s="29" t="str">
        <v>Whole number</v>
      </c>
      <c r="D65" s="29" t="str">
        <v>05 Medication</v>
      </c>
      <c r="E65" s="3"/>
    </row>
    <row r="66" ht="34" customHeight="1">
      <c r="A66" s="3"/>
      <c r="B66" s="29" t="str">
        <v>PRN patterns</v>
      </c>
      <c r="C66" s="29" t="str">
        <v>Text or notes</v>
      </c>
      <c r="D66" s="29" t="str">
        <v>05 Medication</v>
      </c>
      <c r="E66" s="3"/>
    </row>
    <row r="67" ht="34" customHeight="1">
      <c r="A67" s="3"/>
      <c r="B67" s="29" t="str">
        <v>IM injections</v>
      </c>
      <c r="C67" s="29" t="str">
        <v>Yes; No; Unable to assess</v>
      </c>
      <c r="D67" s="29" t="str">
        <v>05 Medication</v>
      </c>
      <c r="E67" s="3"/>
    </row>
    <row r="68" ht="34" customHeight="1">
      <c r="A68" s="3"/>
      <c r="B68" s="29" t="str">
        <v>Injection details</v>
      </c>
      <c r="C68" s="29" t="str">
        <v>Text or notes</v>
      </c>
      <c r="D68" s="29" t="str">
        <v>05 Medication</v>
      </c>
      <c r="E68" s="3"/>
    </row>
    <row r="69" ht="34" customHeight="1">
      <c r="A69" s="3"/>
      <c r="B69" s="29" t="str">
        <v>Injection frequency</v>
      </c>
      <c r="C69" s="29" t="str">
        <v>Text or notes</v>
      </c>
      <c r="D69" s="29" t="str">
        <v>05 Medication</v>
      </c>
      <c r="E69" s="3"/>
    </row>
    <row r="70" ht="34" customHeight="1">
      <c r="A70" s="3"/>
      <c r="B70" s="29" t="str">
        <v>Last injection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Next injection due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LAI vs oral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County</v>
      </c>
      <c r="C73" s="29" t="str">
        <v>Text or notes</v>
      </c>
      <c r="D73" s="29" t="str">
        <v>06 Living situation</v>
      </c>
      <c r="E73" s="3"/>
    </row>
    <row r="74" ht="76" customHeight="1">
      <c r="A74" s="3"/>
      <c r="B74" s="29" t="str">
        <v>Most recent setting type</v>
      </c>
      <c r="C74" s="29" t="str">
        <v>State hospital; Acute psychiatric hospital; IMD / MHRC; Skilled nursing facility; Board and care; Residential program; Jail / forensic setting; Independent or family home; Unhoused; Other</v>
      </c>
      <c r="D74" s="29" t="str">
        <v>06 Living situation</v>
      </c>
      <c r="E74" s="3"/>
    </row>
    <row r="75" ht="34" customHeight="1">
      <c r="A75" s="3"/>
      <c r="B75" s="29" t="str">
        <v>Most recent facility or program</v>
      </c>
      <c r="C75" s="29" t="str">
        <v>Text or notes</v>
      </c>
      <c r="D75" s="29" t="str">
        <v>06 Living situation</v>
      </c>
      <c r="E75" s="3"/>
    </row>
    <row r="76" ht="34" customHeight="1">
      <c r="A76" s="3"/>
      <c r="B76" s="29" t="str">
        <v>Admit date</v>
      </c>
      <c r="C76" s="29" t="str">
        <v>Date (YYYY-MM-DD)</v>
      </c>
      <c r="D76" s="29" t="str">
        <v>06 Living situation</v>
      </c>
      <c r="E76" s="3"/>
    </row>
    <row r="77" ht="34" customHeight="1">
      <c r="A77" s="3"/>
      <c r="B77" s="29" t="str">
        <v>Earlier care placements</v>
      </c>
      <c r="C77" s="29" t="str">
        <v>Text or notes</v>
      </c>
      <c r="D77" s="29" t="str">
        <v>07 Recent care and history</v>
      </c>
      <c r="E77" s="3"/>
    </row>
    <row r="78" ht="34" customHeight="1">
      <c r="A78" s="3"/>
      <c r="B78" s="29" t="str">
        <v>Prior AWOL / failed placements</v>
      </c>
      <c r="C78" s="29" t="str">
        <v>Text or notes</v>
      </c>
      <c r="D78" s="29" t="str">
        <v>07 Recent care and history</v>
      </c>
      <c r="E78" s="3"/>
    </row>
    <row r="79" ht="34" customHeight="1">
      <c r="A79" s="3"/>
      <c r="B79" s="29" t="str">
        <v>Hospitalization history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Hospitalization timeline</v>
      </c>
      <c r="C80" s="29" t="str">
        <v>One item per line</v>
      </c>
      <c r="D80" s="29" t="str">
        <v>07 Recent care and history</v>
      </c>
      <c r="E80" s="3"/>
    </row>
    <row r="81" ht="34" customHeight="1">
      <c r="A81" s="3"/>
      <c r="B81" s="29" t="str">
        <v>Prior hospitalizations</v>
      </c>
      <c r="C81" s="29" t="str">
        <v>Whole number</v>
      </c>
      <c r="D81" s="29" t="str">
        <v>07 Recent care and history</v>
      </c>
      <c r="E81" s="3"/>
    </row>
    <row r="82" ht="34" customHeight="1">
      <c r="A82" s="3"/>
      <c r="B82" s="29" t="str">
        <v>Most recent hospitalization</v>
      </c>
      <c r="C82" s="29" t="str">
        <v>Date (YYYY-MM-DD)</v>
      </c>
      <c r="D82" s="29" t="str">
        <v>07 Recent care and history</v>
      </c>
      <c r="E82" s="3"/>
    </row>
    <row r="83" ht="34" customHeight="1">
      <c r="A83" s="3"/>
      <c r="B83" s="29" t="str">
        <v>Prior 5150 / 5250 holds</v>
      </c>
      <c r="C83" s="29" t="str">
        <v>Text or notes</v>
      </c>
      <c r="D83" s="29" t="str">
        <v>07 Recent care and history</v>
      </c>
      <c r="E83" s="3"/>
    </row>
    <row r="84" ht="34" customHeight="1">
      <c r="A84" s="3"/>
      <c r="B84" s="29" t="str">
        <v>Crisis / ER utilization</v>
      </c>
      <c r="C84" s="29" t="str">
        <v>Text or notes</v>
      </c>
      <c r="D84" s="29" t="str">
        <v>07 Recent care and history</v>
      </c>
      <c r="E84" s="3"/>
    </row>
    <row r="85" ht="34" customHeight="1">
      <c r="A85" s="3"/>
      <c r="B85" s="29" t="str">
        <v>History of substance abuse</v>
      </c>
      <c r="C85" s="29" t="str">
        <v>Yes; No; Unable to assess</v>
      </c>
      <c r="D85" s="29" t="str">
        <v>08 Substance use and recovery</v>
      </c>
      <c r="E85" s="3"/>
    </row>
    <row r="86" ht="34" customHeight="1">
      <c r="A86" s="3"/>
      <c r="B86" s="29" t="str">
        <v>Active substance use</v>
      </c>
      <c r="C86" s="29" t="str">
        <v>Yes; No; Unable to assess</v>
      </c>
      <c r="D86" s="29" t="str">
        <v>08 Substance use and recovery</v>
      </c>
      <c r="E86" s="3"/>
    </row>
    <row r="87" ht="34" customHeight="1">
      <c r="A87" s="3"/>
      <c r="B87" s="29" t="str">
        <v>Substances</v>
      </c>
      <c r="C87" s="29" t="str">
        <v>Opioids; Amphetamines; Marijuana; Alcohol; Other</v>
      </c>
      <c r="D87" s="29" t="str">
        <v>08 Substance use and recovery</v>
      </c>
      <c r="E87" s="3"/>
    </row>
    <row r="88" ht="34" customHeight="1">
      <c r="A88" s="3"/>
      <c r="B88" s="29" t="str">
        <v>Last substance use</v>
      </c>
      <c r="C88" s="29" t="str">
        <v>Date (YYYY-MM-DD)</v>
      </c>
      <c r="D88" s="29" t="str">
        <v>08 Substance use and recovery</v>
      </c>
      <c r="E88" s="3"/>
    </row>
    <row r="89" ht="34" customHeight="1">
      <c r="A89" s="3"/>
      <c r="B89" s="29" t="str">
        <v>Use pattern</v>
      </c>
      <c r="C89" s="29" t="str">
        <v>Daily; Weekly; Sporadic; Rarely</v>
      </c>
      <c r="D89" s="29" t="str">
        <v>08 Substance use and recovery</v>
      </c>
      <c r="E89" s="3"/>
    </row>
    <row r="90" ht="34" customHeight="1">
      <c r="A90" s="3"/>
      <c r="B90" s="29" t="str">
        <v>Effect on baseline behavior</v>
      </c>
      <c r="C90" s="29" t="str">
        <v>Text or notes</v>
      </c>
      <c r="D90" s="29" t="str">
        <v>08 Substance use and recovery</v>
      </c>
      <c r="E90" s="3"/>
    </row>
    <row r="91" ht="60" customHeight="1">
      <c r="A91" s="3"/>
      <c r="B91" s="29" t="str">
        <v>Longest sobriety in the last five years</v>
      </c>
      <c r="C91" s="29" t="str">
        <v>1 month; 2 months; 3 months; 4 months; 5 months; 6 months; 7 months; 8 months; 9 months; 10 months; 11 months; 1 year; 18 months; 2 years; More than 2 years</v>
      </c>
      <c r="D91" s="29" t="str">
        <v>08 Substance use and recovery</v>
      </c>
      <c r="E91" s="3"/>
    </row>
    <row r="92" ht="44" customHeight="1">
      <c r="A92" s="3"/>
      <c r="B92" s="29" t="str">
        <v>Acknowledgment of substance-use impact</v>
      </c>
      <c r="C92" s="29" t="str">
        <v>Acknowledges impact; Partially acknowledges impact; Does not acknowledge impact; Not discussed</v>
      </c>
      <c r="D92" s="29" t="str">
        <v>08 Substance use and recovery</v>
      </c>
      <c r="E92" s="3"/>
    </row>
    <row r="93" ht="34" customHeight="1">
      <c r="A93" s="3"/>
      <c r="B93" s="29" t="str">
        <v>Substance-use impact notes</v>
      </c>
      <c r="C93" s="29" t="str">
        <v>Text or notes</v>
      </c>
      <c r="D93" s="29" t="str">
        <v>08 Substance use and recovery</v>
      </c>
      <c r="E93" s="3"/>
    </row>
    <row r="94" ht="34" customHeight="1">
      <c r="A94" s="3"/>
      <c r="B94" s="29" t="str">
        <v>Treatment history</v>
      </c>
      <c r="C94" s="29" t="str">
        <v>Text or notes</v>
      </c>
      <c r="D94" s="29" t="str">
        <v>08 Substance use and recovery</v>
      </c>
      <c r="E94" s="3"/>
    </row>
    <row r="95" ht="34" customHeight="1">
      <c r="A95" s="3"/>
      <c r="B95" s="29" t="str">
        <v>Longest sobriety in the last five years</v>
      </c>
      <c r="C95" s="29" t="str">
        <v>Whole number</v>
      </c>
      <c r="D95" s="29" t="str">
        <v>08 Substance use and recovery</v>
      </c>
      <c r="E95" s="3"/>
    </row>
    <row r="96" ht="34" customHeight="1">
      <c r="A96" s="3"/>
      <c r="B96" s="29" t="str">
        <v>Behavioral history</v>
      </c>
      <c r="C96" s="29" t="str">
        <v>Text or notes</v>
      </c>
      <c r="D96" s="29" t="str">
        <v>09 Safety and support</v>
      </c>
      <c r="E96" s="3"/>
    </row>
    <row r="97" ht="34" customHeight="1">
      <c r="A97" s="3"/>
      <c r="B97" s="29" t="str">
        <v>Physical altercations</v>
      </c>
      <c r="C97" s="29" t="str">
        <v>Yes; No; Unable to assess</v>
      </c>
      <c r="D97" s="29" t="str">
        <v>09 Safety and support</v>
      </c>
      <c r="E97" s="3"/>
    </row>
    <row r="98" ht="34" customHeight="1">
      <c r="A98" s="3"/>
      <c r="B98" s="29" t="str">
        <v>Physical altercation details</v>
      </c>
      <c r="C98" s="29" t="str">
        <v>Text or notes</v>
      </c>
      <c r="D98" s="29" t="str">
        <v>09 Safety and support</v>
      </c>
      <c r="E98" s="3"/>
    </row>
    <row r="99" ht="34" customHeight="1">
      <c r="A99" s="3"/>
      <c r="B99" s="29" t="str">
        <v>History of self-harm</v>
      </c>
      <c r="C99" s="29" t="str">
        <v>Yes; No; Unable to assess</v>
      </c>
      <c r="D99" s="29" t="str">
        <v>09 Safety and support</v>
      </c>
      <c r="E99" s="3"/>
    </row>
    <row r="100" ht="34" customHeight="1">
      <c r="A100" s="3"/>
      <c r="B100" s="29" t="str">
        <v>Last documented self-harm incident</v>
      </c>
      <c r="C100" s="29" t="str">
        <v>Text or notes</v>
      </c>
      <c r="D100" s="29" t="str">
        <v>09 Safety and support</v>
      </c>
      <c r="E100" s="3"/>
    </row>
    <row r="101" ht="34" customHeight="1">
      <c r="A101" s="3"/>
      <c r="B101" s="29" t="str">
        <v>Current self-harm ideation</v>
      </c>
      <c r="C101" s="29" t="str">
        <v>Yes; No; Unable to assess</v>
      </c>
      <c r="D101" s="29" t="str">
        <v>09 Safety and support</v>
      </c>
      <c r="E101" s="3"/>
    </row>
    <row r="102" ht="34" customHeight="1">
      <c r="A102" s="3"/>
      <c r="B102" s="29" t="str">
        <v>Current self-harm ideation details</v>
      </c>
      <c r="C102" s="29" t="str">
        <v>Text or notes</v>
      </c>
      <c r="D102" s="29" t="str">
        <v>09 Safety and support</v>
      </c>
      <c r="E102" s="3"/>
    </row>
    <row r="103" ht="34" customHeight="1">
      <c r="A103" s="3"/>
      <c r="B103" s="29" t="str">
        <v>Current safety measures</v>
      </c>
      <c r="C103" s="29" t="str">
        <v>Text or notes</v>
      </c>
      <c r="D103" s="29" t="str">
        <v>09 Safety and support</v>
      </c>
      <c r="E103" s="3"/>
    </row>
    <row r="104" ht="34" customHeight="1">
      <c r="A104" s="3"/>
      <c r="B104" s="29" t="str">
        <v>History of assaults</v>
      </c>
      <c r="C104" s="29" t="str">
        <v>Yes; No; Unable to assess</v>
      </c>
      <c r="D104" s="29" t="str">
        <v>09 Safety and support</v>
      </c>
      <c r="E104" s="3"/>
    </row>
    <row r="105" ht="34" customHeight="1">
      <c r="A105" s="3"/>
      <c r="B105" s="29" t="str">
        <v>Most recent assault</v>
      </c>
      <c r="C105" s="29" t="str">
        <v>Text or notes</v>
      </c>
      <c r="D105" s="29" t="str">
        <v>09 Safety and support</v>
      </c>
      <c r="E105" s="3"/>
    </row>
    <row r="106" ht="34" customHeight="1">
      <c r="A106" s="3"/>
      <c r="B106" s="29" t="str">
        <v>Assaults in the last two years</v>
      </c>
      <c r="C106" s="29" t="str">
        <v>Whole number</v>
      </c>
      <c r="D106" s="29" t="str">
        <v>09 Safety and support</v>
      </c>
      <c r="E106" s="3"/>
    </row>
    <row r="107" ht="34" customHeight="1">
      <c r="A107" s="3"/>
      <c r="B107" s="29" t="str">
        <v>History of elopement</v>
      </c>
      <c r="C107" s="29" t="str">
        <v>Yes; No; Unable to assess</v>
      </c>
      <c r="D107" s="29" t="str">
        <v>09 Safety and support</v>
      </c>
      <c r="E107" s="3"/>
    </row>
    <row r="108" ht="34" customHeight="1">
      <c r="A108" s="3"/>
      <c r="B108" s="29" t="str">
        <v>Elopement risk</v>
      </c>
      <c r="C108" s="29" t="str">
        <v>Text or notes</v>
      </c>
      <c r="D108" s="29" t="str">
        <v>09 Safety and support</v>
      </c>
      <c r="E108" s="3"/>
    </row>
    <row r="109" ht="34" customHeight="1">
      <c r="A109" s="3"/>
      <c r="B109" s="29" t="str">
        <v>SI / HI history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Triggers and what helps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Aggression risk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Responds to internal stimuli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Auditory hallucinations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Nature of auditory hallucinations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Current auditory frequency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Auditory triggers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Visual hallucinations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Nature and frequency of 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Recent visual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Olfactory hallucinations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Olfactory hallucination details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Impact of olfactory hallucinations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Tactile hallucinations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 details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Tactile hallucination frequency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Gustatory hallucinations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Gustatory hallucination details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Hallucination coping strategies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Hallucination distress or impairment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Impact on daily functioning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Professional discussion and treatment</v>
      </c>
      <c r="C131" s="29" t="str">
        <v>Text or notes</v>
      </c>
      <c r="D131" s="29" t="str">
        <v>09 Safety and support</v>
      </c>
      <c r="E131" s="3"/>
    </row>
    <row r="132" ht="34" customHeight="1">
      <c r="A132" s="3"/>
      <c r="B132" s="29" t="str">
        <v>Conserved status</v>
      </c>
      <c r="C132" s="29" t="str">
        <v>LPS; TCon; Murphy's; Non-Conserved</v>
      </c>
      <c r="D132" s="29" t="str">
        <v>10 Decisions and legal support</v>
      </c>
      <c r="E132" s="3"/>
    </row>
    <row r="133" ht="34" customHeight="1">
      <c r="A133" s="3"/>
      <c r="B133" s="29" t="str">
        <v>Conservator name</v>
      </c>
      <c r="C133" s="29" t="str">
        <v>Text or notes</v>
      </c>
      <c r="D133" s="29" t="str">
        <v>10 Decisions and legal support</v>
      </c>
      <c r="E133" s="3"/>
    </row>
    <row r="134" ht="34" customHeight="1">
      <c r="A134" s="3"/>
      <c r="B134" s="29" t="str">
        <v>Conservatorship details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Hold type</v>
      </c>
      <c r="C135" s="29" t="str">
        <v>Text or notes</v>
      </c>
      <c r="D135" s="29" t="str">
        <v>10 Decisions and legal support</v>
      </c>
      <c r="E135" s="3"/>
    </row>
    <row r="136" ht="34" customHeight="1">
      <c r="A136" s="3"/>
      <c r="B136" s="29" t="str">
        <v>Forensic history</v>
      </c>
      <c r="C136" s="29" t="str">
        <v>Text or notes</v>
      </c>
      <c r="D136" s="29" t="str">
        <v>10 Decisions and legal support</v>
      </c>
      <c r="E136" s="3"/>
    </row>
    <row r="137" ht="34" customHeight="1">
      <c r="A137" s="3"/>
      <c r="B137" s="29" t="str">
        <v>Forensic timeline</v>
      </c>
      <c r="C137" s="29" t="str">
        <v>One item per line</v>
      </c>
      <c r="D137" s="29" t="str">
        <v>10 Decisions and legal support</v>
      </c>
      <c r="E137" s="3"/>
    </row>
    <row r="138" ht="34" customHeight="1">
      <c r="A138" s="3"/>
      <c r="B138" s="29" t="str">
        <v>PC 290 registration</v>
      </c>
      <c r="C138" s="29" t="str">
        <v>Yes; No; Unable to assess</v>
      </c>
      <c r="D138" s="29" t="str">
        <v>10 Decisions and legal support</v>
      </c>
      <c r="E138" s="3"/>
    </row>
    <row r="139" ht="34" customHeight="1">
      <c r="A139" s="3"/>
      <c r="B139" s="29" t="str">
        <v>Arson history</v>
      </c>
      <c r="C139" s="29" t="str">
        <v>Yes; No; Unable to assess</v>
      </c>
      <c r="D139" s="29" t="str">
        <v>10 Decisions and legal support</v>
      </c>
      <c r="E139" s="3"/>
    </row>
    <row r="140" ht="34" customHeight="1">
      <c r="A140" s="3"/>
      <c r="B140" s="29" t="str">
        <v>Diversion client</v>
      </c>
      <c r="C140" s="29" t="str">
        <v>Yes; No; Unable to assess</v>
      </c>
      <c r="D140" s="29" t="str">
        <v>10 Decisions and legal support</v>
      </c>
      <c r="E140" s="3"/>
    </row>
    <row r="141" ht="34" customHeight="1">
      <c r="A141" s="3"/>
      <c r="B141" s="29" t="str">
        <v>Court requirements</v>
      </c>
      <c r="C141" s="29" t="str">
        <v>Text or notes</v>
      </c>
      <c r="D141" s="29" t="str">
        <v>10 Decisions and legal support</v>
      </c>
      <c r="E141" s="3"/>
    </row>
    <row r="142" ht="34" customHeight="1">
      <c r="A142" s="3"/>
      <c r="B142" s="29" t="str">
        <v>Court dates</v>
      </c>
      <c r="C142" s="29" t="str">
        <v>Text or notes</v>
      </c>
      <c r="D142" s="29" t="str">
        <v>10 Decisions and legal support</v>
      </c>
      <c r="E142" s="3"/>
    </row>
    <row r="143" ht="34" customHeight="1">
      <c r="A143" s="3"/>
      <c r="B143" s="29" t="str">
        <v>Probation / parole / justice</v>
      </c>
      <c r="C143" s="29" t="str">
        <v>Text or notes</v>
      </c>
      <c r="D143" s="29" t="str">
        <v>10 Decisions and legal support</v>
      </c>
      <c r="E143" s="3"/>
    </row>
    <row r="144" ht="34" customHeight="1">
      <c r="A144" s="3"/>
      <c r="B144" s="29" t="str">
        <v>Forensic involvement</v>
      </c>
      <c r="C144" s="29" t="str">
        <v>Text or notes</v>
      </c>
      <c r="D144" s="29" t="str">
        <v>10 Decisions and legal support</v>
      </c>
      <c r="E144" s="3"/>
    </row>
    <row r="145" ht="34" customHeight="1">
      <c r="A145" s="3"/>
      <c r="B145" s="29" t="str">
        <v>Forensic involvement details</v>
      </c>
      <c r="C145" s="29" t="str">
        <v>Text or notes</v>
      </c>
      <c r="D145" s="29" t="str">
        <v>10 Decisions and legal support</v>
      </c>
      <c r="E145" s="3"/>
    </row>
    <row r="146" ht="34" customHeight="1">
      <c r="A146" s="3"/>
      <c r="B146" s="29" t="str">
        <v>History of arrest</v>
      </c>
      <c r="C146" s="29" t="str">
        <v>Text or notes</v>
      </c>
      <c r="D146" s="29" t="str">
        <v>10 Decisions and legal support</v>
      </c>
      <c r="E146" s="3"/>
    </row>
    <row r="147" ht="34" customHeight="1">
      <c r="A147" s="3"/>
      <c r="B147" s="29" t="str">
        <v>Most recent arrest date</v>
      </c>
      <c r="C147" s="29" t="str">
        <v>Date (YYYY-MM-DD)</v>
      </c>
      <c r="D147" s="29" t="str">
        <v>10 Decisions and legal support</v>
      </c>
      <c r="E147" s="3"/>
    </row>
    <row r="148" ht="34" customHeight="1">
      <c r="A148" s="3"/>
      <c r="B148" s="29" t="str">
        <v>Most recent arrest charge</v>
      </c>
      <c r="C148" s="29" t="str">
        <v>Text or notes</v>
      </c>
      <c r="D148" s="29" t="str">
        <v>10 Decisions and legal support</v>
      </c>
      <c r="E148" s="3"/>
    </row>
    <row r="149" ht="34" customHeight="1">
      <c r="A149" s="3"/>
      <c r="B149" s="29" t="str">
        <v>Time in jail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Arrest in the last two years</v>
      </c>
      <c r="C150" s="29" t="str">
        <v>Text or notes</v>
      </c>
      <c r="D150" s="29" t="str">
        <v>10 Decisions and legal support</v>
      </c>
      <c r="E150" s="3"/>
    </row>
    <row r="151" ht="34" customHeight="1">
      <c r="A151" s="3"/>
      <c r="B151" s="29" t="str">
        <v>Recent arrest details</v>
      </c>
      <c r="C151" s="29" t="str">
        <v>Text or notes</v>
      </c>
      <c r="D151" s="29" t="str">
        <v>10 Decisions and legal support</v>
      </c>
      <c r="E151" s="3"/>
    </row>
    <row r="152" ht="34" customHeight="1">
      <c r="A152" s="3"/>
      <c r="B152" s="29" t="str">
        <v>Total recorded arrests</v>
      </c>
      <c r="C152" s="29" t="str">
        <v>Whole number</v>
      </c>
      <c r="D152" s="29" t="str">
        <v>10 Decisions and legal support</v>
      </c>
      <c r="E152" s="3"/>
    </row>
    <row r="153" ht="34" customHeight="1">
      <c r="A153" s="3"/>
      <c r="B153" s="29" t="str">
        <v>Family involvement</v>
      </c>
      <c r="C153" s="29" t="str">
        <v>Text or notes</v>
      </c>
      <c r="D153" s="29" t="str">
        <v>11 What matters next</v>
      </c>
      <c r="E153" s="3"/>
    </row>
    <row r="154" ht="34" customHeight="1">
      <c r="A154" s="3"/>
      <c r="B154" s="29" t="str">
        <v>Friendships and social connections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Home and housing history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Benefits / income status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Preferred facility characteristics</v>
      </c>
      <c r="C157" s="29" t="str">
        <v>Text or notes</v>
      </c>
      <c r="D157" s="29" t="str">
        <v>11 What matters next</v>
      </c>
      <c r="E157" s="3"/>
    </row>
    <row r="158" ht="34" customHeight="1">
      <c r="A158" s="3"/>
      <c r="B158" s="29" t="str">
        <v>Discharge planning goals</v>
      </c>
      <c r="C158" s="29" t="str">
        <v>Text or notes</v>
      </c>
      <c r="D158" s="29" t="str">
        <v>11 What matters next</v>
      </c>
      <c r="E158" s="3"/>
    </row>
    <row r="159" ht="34" customHeight="1">
      <c r="A159" s="3"/>
      <c r="B159" s="29" t="str">
        <v>Placement preferences and concerns</v>
      </c>
      <c r="C159" s="29" t="str">
        <v>Text or notes</v>
      </c>
      <c r="D159" s="29" t="str">
        <v>11 What matters next</v>
      </c>
      <c r="E159" s="3"/>
    </row>
    <row r="160" ht="34" customHeight="1">
      <c r="A160" s="3"/>
      <c r="B160" s="29" t="str">
        <v>Additional information</v>
      </c>
      <c r="C160" s="29" t="str">
        <v>Text or notes</v>
      </c>
      <c r="D160" s="29" t="str">
        <v>12 Anything else</v>
      </c>
      <c r="E160" s="3"/>
    </row>
    <row r="161" ht="34" customHeight="1">
      <c r="A161" s="3"/>
      <c r="B161" s="29" t="str">
        <v>Placement questions or concerns</v>
      </c>
      <c r="C161" s="29" t="str">
        <v>Text or notes</v>
      </c>
      <c r="D161" s="29" t="str">
        <v>12 Anything else</v>
      </c>
      <c r="E161" s="3"/>
    </row>
    <row r="162" ht="34" customHeight="1">
      <c r="A162" s="3"/>
      <c r="B162" s="29" t="str">
        <v>Assessment notes</v>
      </c>
      <c r="C162" s="29" t="str">
        <v>Text or notes</v>
      </c>
      <c r="D162" s="29" t="str">
        <v>12 Anything else</v>
      </c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</sheetData>
  <pageMargins left="0.7" right="0.7" top="0.75" bottom="0.75" header="0.3" footer="0.3"/>
</worksheet>
</file>