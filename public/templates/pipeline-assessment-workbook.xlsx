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016cf9ca4d4f56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6d07ac8bfe794c3e"/>
    <sheet xmlns:r="http://schemas.openxmlformats.org/officeDocument/2006/relationships" name="01 Confirm the basics" sheetId="2" r:id="Red20ff0add3b4b2b"/>
    <sheet xmlns:r="http://schemas.openxmlformats.org/officeDocument/2006/relationships" name="02 How things are now" sheetId="3" r:id="R3d4b1515133243a7"/>
    <sheet xmlns:r="http://schemas.openxmlformats.org/officeDocument/2006/relationships" name="03 A usual day" sheetId="4" r:id="Rc9a0a5f88eb447bb"/>
    <sheet xmlns:r="http://schemas.openxmlformats.org/officeDocument/2006/relationships" name="04 Health and comfort" sheetId="5" r:id="Rb8ad1d3d91504ba8"/>
    <sheet xmlns:r="http://schemas.openxmlformats.org/officeDocument/2006/relationships" name="05 Medication" sheetId="6" r:id="R8d123d25cf9b485b"/>
    <sheet xmlns:r="http://schemas.openxmlformats.org/officeDocument/2006/relationships" name="06 Living situation" sheetId="7" r:id="R2088732c87bd4722"/>
    <sheet xmlns:r="http://schemas.openxmlformats.org/officeDocument/2006/relationships" name="07 Recent care and history" sheetId="8" r:id="R511995de280b4cb4"/>
    <sheet xmlns:r="http://schemas.openxmlformats.org/officeDocument/2006/relationships" name="08 Substance use and recovery" sheetId="9" r:id="Rcbe07b2a3d2d493e"/>
    <sheet xmlns:r="http://schemas.openxmlformats.org/officeDocument/2006/relationships" name="09 Safety and support" sheetId="10" r:id="R01ce518e638e4e9d"/>
    <sheet xmlns:r="http://schemas.openxmlformats.org/officeDocument/2006/relationships" name="10 Decisions and legal support" sheetId="11" r:id="Ree8be1cb492b4089"/>
    <sheet xmlns:r="http://schemas.openxmlformats.org/officeDocument/2006/relationships" name="11 What matters next" sheetId="12" r:id="R6b3b45a78eda492e"/>
    <sheet xmlns:r="http://schemas.openxmlformats.org/officeDocument/2006/relationships" name="12 Anything else" sheetId="13" r:id="Re757407f23304570"/>
    <sheet xmlns:r="http://schemas.openxmlformats.org/officeDocument/2006/relationships" name="Pipeline_Data" sheetId="14" r:id="Rea432ea5061f4986" state="veryHidden"/>
    <sheet xmlns:r="http://schemas.openxmlformats.org/officeDocument/2006/relationships" name="Codebook" sheetId="15" r:id="Reedcadc7684d4c32"/>
  </sheets>
  <definedNames>
    <definedName name="_xlnm.Print_Area" localSheetId="1">'01 Confirm the basics'!$B$1:$E$16</definedName>
    <definedName name="_xlnm.Print_Titles" localSheetId="1">'01 Confirm the basics'!$1:$5</definedName>
    <definedName name="_xlnm.Print_Area" localSheetId="2">'02 How things are now'!$B$1:$E$38</definedName>
    <definedName name="_xlnm.Print_Titles" localSheetId="2">'02 How things are now'!$1:$5</definedName>
    <definedName name="_xlnm.Print_Area" localSheetId="3">'03 A usual day'!$B$1:$E$25</definedName>
    <definedName name="_xlnm.Print_Titles" localSheetId="3">'03 A usual day'!$1:$5</definedName>
    <definedName name="_xlnm.Print_Area" localSheetId="4">'04 Health and comfort'!$B$1:$E$26</definedName>
    <definedName name="_xlnm.Print_Titles" localSheetId="4">'04 Health and comfort'!$1:$5</definedName>
    <definedName name="_xlnm.Print_Area" localSheetId="5">'05 Medication'!$B$1:$E$30</definedName>
    <definedName name="_xlnm.Print_Titles" localSheetId="5">'05 Medication'!$1:$5</definedName>
    <definedName name="_xlnm.Print_Area" localSheetId="6">'06 Living situation'!$B$1:$E$9</definedName>
    <definedName name="_xlnm.Print_Titles" localSheetId="6">'06 Living situation'!$1:$5</definedName>
    <definedName name="_xlnm.Print_Area" localSheetId="7">'07 Recent care and history'!$B$1:$E$11</definedName>
    <definedName name="_xlnm.Print_Titles" localSheetId="7">'07 Recent care and history'!$1:$5</definedName>
    <definedName name="_xlnm.Print_Area" localSheetId="8">'08 Substance use and recovery'!$B$1:$E$29</definedName>
    <definedName name="_xlnm.Print_Titles" localSheetId="8">'08 Substance use and recovery'!$1:$5</definedName>
    <definedName name="_xlnm.Print_Area" localSheetId="9">'09 Safety and support'!$B$1:$E$41</definedName>
    <definedName name="_xlnm.Print_Titles" localSheetId="9">'09 Safety and support'!$1:$5</definedName>
    <definedName name="_xlnm.Print_Area" localSheetId="10">'10 Decisions and legal support'!$B$1:$E$24</definedName>
    <definedName name="_xlnm.Print_Titles" localSheetId="10">'10 Decisions and legal support'!$1:$5</definedName>
    <definedName name="_xlnm.Print_Area" localSheetId="11">'11 What matters next'!$B$1:$E$13</definedName>
    <definedName name="_xlnm.Print_Titles" localSheetId="11">'11 What matters next'!$1:$5</definedName>
    <definedName name="_xlnm.Print_Area" localSheetId="12">'12 Anything else'!$B$1:$E$36</definedName>
    <definedName name="_xlnm.Print_Titles" localSheetId="12">'12 Anything else'!$1:$5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11">
    <font>
      <sz val="11"/>
      <name val="Carlito"/>
    </font>
    <font>
      <sz val="12"/>
      <color rgb="FF233B32"/>
      <name val="Arial"/>
    </font>
    <font>
      <b/>
      <sz val="18"/>
      <color rgb="FF12644F"/>
      <name val="Arial"/>
    </font>
    <font>
      <b/>
      <sz val="11"/>
      <color rgb="FF596E63"/>
      <name val="Arial"/>
    </font>
    <font>
      <sz val="10"/>
      <color rgb="FF5D6C64"/>
      <name val="Arial"/>
    </font>
    <font>
      <b/>
      <sz val="11"/>
      <color rgb="FFFFFFFF"/>
      <name val="Arial"/>
    </font>
    <font>
      <b/>
      <sz val="12"/>
      <color rgb="FF233B32"/>
      <name val="Arial"/>
    </font>
    <font>
      <sz val="10"/>
      <color rgb="FF59675F"/>
      <name val="Arial"/>
    </font>
    <font>
      <sz val="12"/>
      <color rgb="FF233B32"/>
      <name val="Arial"/>
    </font>
    <font>
      <sz val="12"/>
      <color rgb="FF12644F"/>
      <name val="Arial"/>
    </font>
    <font>
      <b/>
      <sz val="16"/>
      <color rgb="FF12644F"/>
      <name val="Arial"/>
    </font>
  </fonts>
  <fills count="6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F5F6F5"/>
      </patternFill>
    </fill>
    <fill>
      <patternFill patternType="solid">
        <fgColor rgb="FFEFF1F0"/>
      </patternFill>
    </fill>
  </fills>
  <borders count="3">
    <border/>
    <border>
      <bottom style="thin">
        <color rgb="FFD8E3DC"/>
      </bottom>
    </border>
    <border>
      <bottom style="thin">
        <color rgb="FFE3EAE6"/>
      </bottom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5" fillId="2" borderId="0" xfId="0" applyNumberFormat="1" applyFont="1" applyFill="1" applyBorder="1" applyAlignment="1">
      <alignment vertical="top" wrapText="1"/>
    </xf>
    <xf numFmtId="0" fontId="6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7" fillId="4" borderId="0" xfId="0" applyNumberFormat="1" applyFont="1" applyFill="1" applyBorder="1" applyAlignment="1">
      <alignment vertical="top" wrapText="1"/>
    </xf>
    <xf numFmtId="0" fontId="6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0" fontId="7" fillId="4" borderId="1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8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top" wrapText="1"/>
    </xf>
    <xf numFmtId="0" fontId="8" fillId="0" borderId="1" xfId="0" applyNumberFormat="1" applyFont="1" applyFill="1" applyBorder="1" applyAlignment="1">
      <alignment vertical="top" wrapText="1"/>
    </xf>
    <xf numFmtId="0" fontId="1" fillId="5" borderId="1" xfId="0" applyNumberFormat="1" applyFont="1" applyFill="1" applyBorder="1" applyAlignment="1">
      <alignment vertical="top" wrapText="1"/>
    </xf>
    <xf numFmtId="200" fontId="1" fillId="5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3" fontId="1" fillId="5" borderId="1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 wrapText="1"/>
    </xf>
    <xf numFmtId="0" fontId="9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horizontal="center" vertical="top" wrapText="1"/>
    </xf>
    <xf numFmtId="202" fontId="1" fillId="0" borderId="2" xfId="0" applyNumberFormat="1" applyFont="1" applyFill="1" applyBorder="1" applyAlignment="1">
      <alignment horizontal="center" vertical="top" wrapText="1"/>
    </xf>
    <xf numFmtId="0" fontId="10" fillId="0" borderId="0" xfId="0" applyNumberFormat="1" applyFont="1" applyFill="1" applyBorder="1" applyAlignment="1">
      <alignment vertical="top"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5" fillId="2" borderId="0" xfId="0" applyNumberFormat="1" applyFont="1" applyFill="1" applyBorder="1" applyAlignment="1">
      <alignment vertical="top" wrapText="1"/>
      <protection locked="0"/>
    </xf>
    <xf applyProtection="1" numFmtId="0" fontId="6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7" fillId="4" borderId="0" xfId="0" applyNumberFormat="1" applyFont="1" applyFill="1" applyBorder="1" applyAlignment="1">
      <alignment vertical="top" wrapText="1"/>
      <protection locked="0"/>
    </xf>
    <xf applyProtection="1" numFmtId="0" fontId="6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0" fontId="7" fillId="4" borderId="1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8" fillId="0" borderId="0" xfId="0" applyNumberFormat="1" applyFont="1" applyFill="1" applyBorder="1" applyAlignment="1">
      <alignment vertical="top" wrapText="1"/>
      <protection locked="0"/>
    </xf>
    <xf applyProtection="1" numFmtId="0" fontId="1" fillId="5" borderId="0" xfId="0" applyNumberFormat="1" applyFont="1" applyFill="1" applyBorder="1" applyAlignment="1">
      <alignment vertical="top" wrapText="1"/>
      <protection locked="0"/>
    </xf>
    <xf applyProtection="1" numFmtId="0" fontId="8" fillId="0" borderId="1" xfId="0" applyNumberFormat="1" applyFont="1" applyFill="1" applyBorder="1" applyAlignment="1">
      <alignment vertical="top" wrapText="1"/>
      <protection locked="0"/>
    </xf>
    <xf applyProtection="1" numFmtId="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3" fontId="1" fillId="5" borderId="1" xfId="0" applyNumberFormat="1" applyFont="1" applyFill="1" applyBorder="1" applyAlignment="1">
      <alignment vertical="top" wrapText="1"/>
      <protection locked="0"/>
    </xf>
    <xf applyProtection="1" numFmtId="0" fontId="9" fillId="0" borderId="0" xfId="0" applyNumberFormat="1" applyFont="1" applyFill="1" applyBorder="1" applyAlignment="1">
      <alignment vertical="top" wrapText="1"/>
      <protection locked="0"/>
    </xf>
    <xf applyProtection="1" numFmtId="0" fontId="9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horizontal="center" vertical="top" wrapText="1"/>
      <protection locked="0"/>
    </xf>
    <xf applyProtection="1" numFmtId="202" fontId="1" fillId="0" borderId="2" xfId="0" applyNumberFormat="1" applyFont="1" applyFill="1" applyBorder="1" applyAlignment="1">
      <alignment horizontal="center" vertical="top" wrapText="1"/>
      <protection locked="0"/>
    </xf>
    <xf applyProtection="1" numFmtId="0" fontId="10" fillId="0" borderId="0" xfId="0" applyNumberFormat="1" applyFont="1" applyFill="1" applyBorder="1" applyAlignment="1">
      <alignment vertical="top" wrapText="1"/>
      <protection locked="0"/>
    </xf>
  </cellXfs>
  <cellStyles count="1">
    <cellStyle name="Normal" xfId="0"/>
  </cellStyles>
  <dxfs count="381"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156d66b5164db3" /><Relationship Type="http://schemas.openxmlformats.org/officeDocument/2006/relationships/theme" Target="/xl/theme/theme1.xml" Id="R5bcd3739abbd4141" /><Relationship Type="http://schemas.openxmlformats.org/officeDocument/2006/relationships/sharedStrings" Target="/xl/sharedStrings.xml" Id="Re7ce408a521f43a5" /><Relationship Type="http://schemas.openxmlformats.org/officeDocument/2006/relationships/worksheet" Target="/xl/worksheets/sheet1.xml" Id="R6d07ac8bfe794c3e" /><Relationship Type="http://schemas.openxmlformats.org/officeDocument/2006/relationships/worksheet" Target="/xl/worksheets/sheet2.xml" Id="Red20ff0add3b4b2b" /><Relationship Type="http://schemas.openxmlformats.org/officeDocument/2006/relationships/worksheet" Target="/xl/worksheets/sheet3.xml" Id="R3d4b1515133243a7" /><Relationship Type="http://schemas.openxmlformats.org/officeDocument/2006/relationships/worksheet" Target="/xl/worksheets/sheet4.xml" Id="Rc9a0a5f88eb447bb" /><Relationship Type="http://schemas.openxmlformats.org/officeDocument/2006/relationships/worksheet" Target="/xl/worksheets/sheet5.xml" Id="Rb8ad1d3d91504ba8" /><Relationship Type="http://schemas.openxmlformats.org/officeDocument/2006/relationships/worksheet" Target="/xl/worksheets/sheet6.xml" Id="R8d123d25cf9b485b" /><Relationship Type="http://schemas.openxmlformats.org/officeDocument/2006/relationships/worksheet" Target="/xl/worksheets/sheet7.xml" Id="R2088732c87bd4722" /><Relationship Type="http://schemas.openxmlformats.org/officeDocument/2006/relationships/worksheet" Target="/xl/worksheets/sheet8.xml" Id="R511995de280b4cb4" /><Relationship Type="http://schemas.openxmlformats.org/officeDocument/2006/relationships/worksheet" Target="/xl/worksheets/sheet9.xml" Id="Rcbe07b2a3d2d493e" /><Relationship Type="http://schemas.openxmlformats.org/officeDocument/2006/relationships/worksheet" Target="/xl/worksheets/sheet10.xml" Id="R01ce518e638e4e9d" /><Relationship Type="http://schemas.openxmlformats.org/officeDocument/2006/relationships/worksheet" Target="/xl/worksheets/sheet11.xml" Id="Ree8be1cb492b4089" /><Relationship Type="http://schemas.openxmlformats.org/officeDocument/2006/relationships/worksheet" Target="/xl/worksheets/sheet12.xml" Id="R6b3b45a78eda492e" /><Relationship Type="http://schemas.openxmlformats.org/officeDocument/2006/relationships/worksheet" Target="/xl/worksheets/sheet13.xml" Id="Re757407f23304570" /><Relationship Type="http://schemas.openxmlformats.org/officeDocument/2006/relationships/worksheet" Target="/xl/worksheets/sheet14.xml" Id="Rea432ea5061f4986" /><Relationship Type="http://schemas.openxmlformats.org/officeDocument/2006/relationships/worksheet" Target="/xl/worksheets/sheet15.xml" Id="Reedcadc7684d4c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Assessment working copy</v>
      </c>
      <c r="C1" s="4"/>
      <c r="D1" s="4"/>
      <c r="E1" s="4"/>
    </row>
    <row r="2" ht="24" customHeight="1">
      <c r="A2" s="3"/>
      <c r="B2" s="3" t="str">
        <v>Download from the assessment to include current answers.</v>
      </c>
      <c r="C2" s="3"/>
      <c r="D2" s="3"/>
      <c r="E2" s="3"/>
    </row>
    <row r="3" ht="24" customHeight="1">
      <c r="A3" s="3"/>
      <c r="B3" s="3" t="str">
        <v>The saved time will appear here.</v>
      </c>
      <c r="C3" s="3"/>
      <c r="D3" s="3"/>
      <c r="E3" s="3"/>
    </row>
    <row r="4">
      <c r="A4" s="3"/>
      <c r="B4" s="3"/>
      <c r="C4" s="3"/>
      <c r="D4" s="3"/>
      <c r="E4" s="3"/>
    </row>
    <row r="5" ht="29" customHeight="1">
      <c r="A5" s="3"/>
      <c r="B5" s="3" t="str">
        <v>1. Open your current section below. The order matches the assessment in Pipeline.</v>
      </c>
      <c r="C5" s="3"/>
      <c r="D5" s="3"/>
      <c r="E5" s="3"/>
    </row>
    <row r="6" ht="29" customHeight="1">
      <c r="A6" s="3"/>
      <c r="B6" s="3" t="str">
        <v>2. Edit the Answer cells. Choose from dropdowns; enter list items on separate lines.</v>
      </c>
      <c r="C6" s="3"/>
      <c r="D6" s="3"/>
      <c r="E6" s="3"/>
    </row>
    <row r="7" ht="29" customHeight="1">
      <c r="A7" s="3"/>
      <c r="B7" s="3" t="str">
        <v>3. Check amber rows, save this file, then upload it to the same assessment and review the changes.</v>
      </c>
      <c r="C7" s="3"/>
      <c r="D7" s="3"/>
      <c r="E7" s="3"/>
    </row>
    <row r="8" ht="29" customHeight="1">
      <c r="A8" s="3"/>
      <c r="B8" s="3" t="str">
        <v>Blank = not answered. If you cannot assess a question, select Unable to assess and explain why beside it.</v>
      </c>
      <c r="C8" s="3"/>
      <c r="D8" s="3"/>
      <c r="E8" s="3"/>
    </row>
    <row r="9" ht="29" customHeight="1">
      <c r="A9" s="3"/>
      <c r="B9" s="3" t="str">
        <v>Not applicable = skip. Review previous answer = an earlier detail no longer fits; it has not been deleted.</v>
      </c>
      <c r="C9" s="3"/>
      <c r="D9" s="3"/>
      <c r="E9" s="3"/>
    </row>
    <row r="10" ht="29" customHeight="1">
      <c r="A10" s="3"/>
      <c r="B10" s="3" t="str">
        <v>This copy does not update itself or sign the assessment. Keep it in approved secure storage.</v>
      </c>
      <c r="C10" s="3"/>
      <c r="D10" s="3"/>
      <c r="E10" s="3"/>
    </row>
    <row r="11" ht="29" customHeight="1">
      <c r="A11" s="3"/>
      <c r="B11" s="3" t="str">
        <v>Long notes stay in the cell. Expand its row to read more; existing continuation rows remain mapped.</v>
      </c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 ht="32" customHeight="1">
      <c r="A15" s="3"/>
      <c r="B15" s="8" t="str">
        <v>Open section</v>
      </c>
      <c r="C15" s="8" t="str">
        <v>Missing answers / explanations</v>
      </c>
      <c r="D15" s="8" t="str">
        <v>Previous details to review</v>
      </c>
      <c r="E15" s="8" t="str"/>
    </row>
    <row r="16" ht="32" customHeight="1">
      <c r="A16" s="3"/>
      <c r="B16" s="28" t="str">
        <v>1. Confirm the basics</v>
      </c>
      <c r="C16" s="31" t="n">
        <f>COUNTIF('01 Confirm the basics'!E6:E16,"Needs answer")+COUNTIF('01 Confirm the basics'!E6:E16,"Explain why")</f>
        <v>8</v>
      </c>
      <c r="D16" s="31" t="n">
        <f>COUNTIF('01 Confirm the basics'!E6:E16,"Review previous answer")+COUNTIF('01 Confirm the basics'!E6:E16,"Review previous reason")</f>
        <v>0</v>
      </c>
      <c r="E16" s="30"/>
    </row>
    <row r="17" ht="32" customHeight="1">
      <c r="A17" s="3"/>
      <c r="B17" s="28" t="str">
        <v>2. How things are now</v>
      </c>
      <c r="C17" s="31" t="n">
        <f>COUNTIF('02 How things are now'!E6:E38,"Needs answer")+COUNTIF('02 How things are now'!E6:E38,"Explain why")</f>
        <v>2</v>
      </c>
      <c r="D17" s="31" t="n">
        <f>COUNTIF('02 How things are now'!E6:E38,"Review previous answer")+COUNTIF('02 How things are now'!E6:E38,"Review previous reason")</f>
        <v>0</v>
      </c>
      <c r="E17" s="30"/>
    </row>
    <row r="18" ht="32" customHeight="1">
      <c r="A18" s="3"/>
      <c r="B18" s="28" t="str">
        <v>3. A usual day</v>
      </c>
      <c r="C18" s="31" t="n">
        <f>COUNTIF('03 A usual day'!E6:E25,"Needs answer")+COUNTIF('03 A usual day'!E6:E25,"Explain why")</f>
        <v>9</v>
      </c>
      <c r="D18" s="31" t="n">
        <f>COUNTIF('03 A usual day'!E6:E25,"Review previous answer")+COUNTIF('03 A usual day'!E6:E25,"Review previous reason")</f>
        <v>0</v>
      </c>
      <c r="E18" s="30"/>
    </row>
    <row r="19" ht="32" customHeight="1">
      <c r="A19" s="3"/>
      <c r="B19" s="28" t="str">
        <v>4. Health and comfort</v>
      </c>
      <c r="C19" s="31" t="n">
        <f>COUNTIF('04 Health and comfort'!E6:E26,"Needs answer")+COUNTIF('04 Health and comfort'!E6:E26,"Explain why")</f>
        <v>14</v>
      </c>
      <c r="D19" s="31" t="n">
        <f>COUNTIF('04 Health and comfort'!E6:E26,"Review previous answer")+COUNTIF('04 Health and comfort'!E6:E26,"Review previous reason")</f>
        <v>0</v>
      </c>
      <c r="E19" s="30"/>
    </row>
    <row r="20" ht="32" customHeight="1">
      <c r="A20" s="3"/>
      <c r="B20" s="28" t="str">
        <v>5. Medication</v>
      </c>
      <c r="C20" s="31" t="n">
        <f>COUNTIF('05 Medication'!E6:E30,"Needs answer")+COUNTIF('05 Medication'!E6:E30,"Explain why")</f>
        <v>2</v>
      </c>
      <c r="D20" s="31" t="n">
        <f>COUNTIF('05 Medication'!E6:E30,"Review previous answer")+COUNTIF('05 Medication'!E6:E30,"Review previous reason")</f>
        <v>0</v>
      </c>
      <c r="E20" s="30"/>
    </row>
    <row r="21" ht="32" customHeight="1">
      <c r="A21" s="3"/>
      <c r="B21" s="28" t="str">
        <v>6. Living situation</v>
      </c>
      <c r="C21" s="31" t="n">
        <f>COUNTIF('06 Living situation'!E6:E9,"Needs answer")+COUNTIF('06 Living situation'!E6:E9,"Explain why")</f>
        <v>0</v>
      </c>
      <c r="D21" s="31" t="n">
        <f>COUNTIF('06 Living situation'!E6:E9,"Review previous answer")+COUNTIF('06 Living situation'!E6:E9,"Review previous reason")</f>
        <v>0</v>
      </c>
      <c r="E21" s="30"/>
    </row>
    <row r="22" ht="32" customHeight="1">
      <c r="A22" s="3"/>
      <c r="B22" s="28" t="str">
        <v>7. Recent care and history</v>
      </c>
      <c r="C22" s="31" t="n">
        <f>COUNTIF('07 Recent care and history'!E6:E11,"Needs answer")+COUNTIF('07 Recent care and history'!E6:E11,"Explain why")</f>
        <v>1</v>
      </c>
      <c r="D22" s="31" t="n">
        <f>COUNTIF('07 Recent care and history'!E6:E11,"Review previous answer")+COUNTIF('07 Recent care and history'!E6:E11,"Review previous reason")</f>
        <v>0</v>
      </c>
      <c r="E22" s="30"/>
    </row>
    <row r="23" ht="32" customHeight="1">
      <c r="A23" s="3"/>
      <c r="B23" s="28" t="str">
        <v>8. Substance use and recovery</v>
      </c>
      <c r="C23" s="31" t="n">
        <f>COUNTIF('08 Substance use and recovery'!E6:E29,"Needs answer")+COUNTIF('08 Substance use and recovery'!E6:E29,"Explain why")</f>
        <v>2</v>
      </c>
      <c r="D23" s="31" t="n">
        <f>COUNTIF('08 Substance use and recovery'!E6:E29,"Review previous answer")+COUNTIF('08 Substance use and recovery'!E6:E29,"Review previous reason")</f>
        <v>0</v>
      </c>
      <c r="E23" s="30"/>
    </row>
    <row r="24" ht="32" customHeight="1">
      <c r="A24" s="3"/>
      <c r="B24" s="28" t="str">
        <v>9. Safety and support</v>
      </c>
      <c r="C24" s="31" t="n">
        <f>COUNTIF('09 Safety and support'!E6:E41,"Needs answer")+COUNTIF('09 Safety and support'!E6:E41,"Explain why")</f>
        <v>5</v>
      </c>
      <c r="D24" s="31" t="n">
        <f>COUNTIF('09 Safety and support'!E6:E41,"Review previous answer")+COUNTIF('09 Safety and support'!E6:E41,"Review previous reason")</f>
        <v>0</v>
      </c>
      <c r="E24" s="30"/>
    </row>
    <row r="25" ht="32" customHeight="1">
      <c r="A25" s="3"/>
      <c r="B25" s="28" t="str">
        <v>10. Decisions and legal support</v>
      </c>
      <c r="C25" s="31" t="n">
        <f>COUNTIF('10 Decisions and legal support'!E6:E24,"Needs answer")+COUNTIF('10 Decisions and legal support'!E6:E24,"Explain why")</f>
        <v>6</v>
      </c>
      <c r="D25" s="31" t="n">
        <f>COUNTIF('10 Decisions and legal support'!E6:E24,"Review previous answer")+COUNTIF('10 Decisions and legal support'!E6:E24,"Review previous reason")</f>
        <v>0</v>
      </c>
      <c r="E25" s="30"/>
    </row>
    <row r="26" ht="32" customHeight="1">
      <c r="A26" s="3"/>
      <c r="B26" s="28" t="str">
        <v>11. What matters next</v>
      </c>
      <c r="C26" s="31" t="n">
        <f>COUNTIF('11 What matters next'!E6:E13,"Needs answer")+COUNTIF('11 What matters next'!E6:E13,"Explain why")</f>
        <v>0</v>
      </c>
      <c r="D26" s="31" t="n">
        <f>COUNTIF('11 What matters next'!E6:E13,"Review previous answer")+COUNTIF('11 What matters next'!E6:E13,"Review previous reason")</f>
        <v>0</v>
      </c>
      <c r="E26" s="30"/>
    </row>
    <row r="27" ht="32" customHeight="1">
      <c r="A27" s="3"/>
      <c r="B27" s="28" t="str">
        <v>12. Anything else</v>
      </c>
      <c r="C27" s="31" t="n">
        <f>COUNTIF('12 Anything else'!E6:E13,"Needs answer")+COUNTIF('12 Anything else'!E6:E13,"Explain why")</f>
        <v>0</v>
      </c>
      <c r="D27" s="31" t="n">
        <f>COUNTIF('12 Anything else'!E6:E13,"Review previous answer")+COUNTIF('12 Anything else'!E6:E13,"Review previous reason")</f>
        <v>0</v>
      </c>
      <c r="E27" s="30"/>
    </row>
  </sheetData>
  <mergeCells>
    <mergeCell ref="B1:E1"/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</mergeCells>
  <conditionalFormatting sqref="C16:D16">
    <cfRule type="cellIs" dxfId="357" priority="1" operator="greaterThan">
      <formula>0</formula>
    </cfRule>
  </conditionalFormatting>
  <conditionalFormatting sqref="C17:D17">
    <cfRule type="cellIs" dxfId="358" priority="2" operator="greaterThan">
      <formula>0</formula>
    </cfRule>
  </conditionalFormatting>
  <conditionalFormatting sqref="C18:D18">
    <cfRule type="cellIs" dxfId="359" priority="3" operator="greaterThan">
      <formula>0</formula>
    </cfRule>
  </conditionalFormatting>
  <conditionalFormatting sqref="C19:D19">
    <cfRule type="cellIs" dxfId="360" priority="4" operator="greaterThan">
      <formula>0</formula>
    </cfRule>
  </conditionalFormatting>
  <conditionalFormatting sqref="C20:D20">
    <cfRule type="cellIs" dxfId="361" priority="5" operator="greaterThan">
      <formula>0</formula>
    </cfRule>
  </conditionalFormatting>
  <conditionalFormatting sqref="C21:D21">
    <cfRule type="cellIs" dxfId="362" priority="6" operator="greaterThan">
      <formula>0</formula>
    </cfRule>
  </conditionalFormatting>
  <conditionalFormatting sqref="C22:D22">
    <cfRule type="cellIs" dxfId="363" priority="7" operator="greaterThan">
      <formula>0</formula>
    </cfRule>
  </conditionalFormatting>
  <conditionalFormatting sqref="C23:D23">
    <cfRule type="cellIs" dxfId="364" priority="8" operator="greaterThan">
      <formula>0</formula>
    </cfRule>
  </conditionalFormatting>
  <conditionalFormatting sqref="C24:D24">
    <cfRule type="cellIs" dxfId="365" priority="9" operator="greaterThan">
      <formula>0</formula>
    </cfRule>
  </conditionalFormatting>
  <conditionalFormatting sqref="C25:D25">
    <cfRule type="cellIs" dxfId="366" priority="10" operator="greaterThan">
      <formula>0</formula>
    </cfRule>
  </conditionalFormatting>
  <conditionalFormatting sqref="C26:D26">
    <cfRule type="cellIs" dxfId="367" priority="11" operator="greaterThan">
      <formula>0</formula>
    </cfRule>
  </conditionalFormatting>
  <conditionalFormatting sqref="C27:D27">
    <cfRule type="cellIs" dxfId="368" priority="12" operator="greaterThan">
      <formula>0</formula>
    </cfRule>
  </conditionalFormatting>
  <hyperlinks>
    <hyperlink ref="B16" location="'01 Confirm the basics'!B1"/>
    <hyperlink ref="B17" location="'02 How things are now'!B1"/>
    <hyperlink ref="B18" location="'03 A usual day'!B1"/>
    <hyperlink ref="B19" location="'04 Health and comfort'!B1"/>
    <hyperlink ref="B20" location="'05 Medication'!B1"/>
    <hyperlink ref="B21" location="'06 Living situation'!B1"/>
    <hyperlink ref="B22" location="'07 Recent care and history'!B1"/>
    <hyperlink ref="B23" location="'08 Substance use and recovery'!B1"/>
    <hyperlink ref="B24" location="'09 Safety and support'!B1"/>
    <hyperlink ref="B25" location="'10 Decisions and legal support'!B1"/>
    <hyperlink ref="B26" location="'11 What matters next'!B1"/>
    <hyperlink ref="B27" location="'12 Anything else'!B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Confirm the basics</v>
      </c>
      <c r="C1" s="4"/>
      <c r="D1" s="5" t="str">
        <v>Section 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resident_name</v>
      </c>
      <c r="B6" s="13" t="str">
        <v>Resident name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34" customHeight="1">
      <c r="A7" s="3" t="str">
        <v>date_of_birth</v>
      </c>
      <c r="B7" s="13" t="str">
        <v>Date of birth</v>
      </c>
      <c r="C7" t="str" s="51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why",IF(LEN(TRIM(C7))&gt;0,"Answered",IF(TRUE,"Needs answer","Optional")))))</f>
        <v>Needs answer</v>
      </c>
    </row>
    <row r="8" ht="34" customHeight="1">
      <c r="A8" s="3" t="str">
        <v>community</v>
      </c>
      <c r="B8" s="13" t="str">
        <v>Community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assessment_date</v>
      </c>
      <c r="B9" s="13" t="str">
        <v>Date assessment performed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why",IF(LEN(TRIM(C9))&gt;0,"Answered",IF(TRUE,"Needs answer","Optional")))))</f>
        <v>Needs answer</v>
      </c>
    </row>
    <row r="10" ht="34" customHeight="1">
      <c r="A10" s="3" t="str">
        <v>referral_received_date</v>
      </c>
      <c r="B10" s="13" t="str">
        <v>Date referral received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34" customHeight="1">
      <c r="A11" s="3" t="str">
        <v>referrer_name</v>
      </c>
      <c r="B11" s="13" t="str">
        <v>Referrer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why",IF(LEN(TRIM(C11))&gt;0,"Answered",IF(TRUE,"Needs answer","Optional")))))</f>
        <v>Needs answer</v>
      </c>
    </row>
    <row r="12" ht="34" customHeight="1">
      <c r="A12" s="3" t="str">
        <v>referrer_contact</v>
      </c>
      <c r="B12" s="13" t="str">
        <v>Referrer contact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why",IF(LEN(TRIM(C12))&gt;0,"Answered",IF(TRUE,"Needs answer","Optional")))))</f>
        <v>Needs answer</v>
      </c>
    </row>
    <row r="13" ht="34" customHeight="1">
      <c r="A13" s="3" t="str">
        <v>current_location</v>
      </c>
      <c r="B13" s="13" t="str">
        <v>Current location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why",IF(LEN(TRIM(C13))&gt;0,"Answered",IF(TRUE,"Needs answer","Optional")))))</f>
        <v>Needs answer</v>
      </c>
    </row>
    <row r="14" ht="34" customHeight="1">
      <c r="A14" s="3" t="str">
        <v>time_at_current_location</v>
      </c>
      <c r="B14" s="13" t="str">
        <v>Time at current location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34" customHeight="1">
      <c r="A15" s="3" t="str">
        <v>resident_number</v>
      </c>
      <c r="B15" s="13" t="str">
        <v>Resident number</v>
      </c>
      <c r="C15" t="str" s="50"/>
      <c r="D15" t="str" s="48"/>
      <c r="E15" s="16" t="str">
        <f>IF(NOT(TRUE),IF(OR(LEN(TRIM(C15))&gt;0,LEN(TRIM(D15))&gt;0),"Review previous answer","Not applicable"),IF(AND(LEN(TRIM(D15))&gt;0,NOT(FALSE)),"Review previous reason",IF(AND(FALSE,NOT(LEN(TRIM(D15))&gt;0)),"Explain why",IF(LEN(TRIM(C15))&gt;0,"Answered",IF(FALSE,"Needs answer","Optional")))))</f>
        <v>Optional</v>
      </c>
    </row>
    <row r="16" ht="39" customHeight="1">
      <c r="A16" s="3" t="str">
        <v>assessor</v>
      </c>
      <c r="B16" s="21" t="inlineStr">
        <is>
          <r>
            <rPr>
              <b/>
              <sz val="12"/>
              <color rgb="FF233B32"/>
            </rPr>
            <t>Assessor</t>
          </r>
          <r>
            <rPr>
              <b val="0"/>
              <sz val="10"/>
              <color rgb="FF59675F"/>
            </rPr>
            <t xml:space="preserve">
Reference only.</t>
          </r>
        </is>
      </c>
      <c r="C16" s="23" t="str"/>
      <c r="D16" s="15" t="str"/>
      <c r="E16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0" priority="1">
      <formula>$E6="Not applicable"</formula>
    </cfRule>
  </conditionalFormatting>
  <conditionalFormatting sqref="E6:E6">
    <cfRule type="expression" dxfId="1" priority="2">
      <formula>OR($E6="Needs answer",$E6="Explain why",LEFT($E6,6)="Review")</formula>
    </cfRule>
  </conditionalFormatting>
  <conditionalFormatting sqref="B7:E7">
    <cfRule type="expression" dxfId="2" priority="3">
      <formula>$E7="Not applicable"</formula>
    </cfRule>
  </conditionalFormatting>
  <conditionalFormatting sqref="E7:E7">
    <cfRule type="expression" dxfId="3" priority="4">
      <formula>OR($E7="Needs answer",$E7="Explain why",LEFT($E7,6)="Review")</formula>
    </cfRule>
  </conditionalFormatting>
  <conditionalFormatting sqref="B8:E8">
    <cfRule type="expression" dxfId="4" priority="5">
      <formula>$E8="Not applicable"</formula>
    </cfRule>
  </conditionalFormatting>
  <conditionalFormatting sqref="E8:E8">
    <cfRule type="expression" dxfId="5" priority="6">
      <formula>OR($E8="Needs answer",$E8="Explain why",LEFT($E8,6)="Review")</formula>
    </cfRule>
  </conditionalFormatting>
  <conditionalFormatting sqref="B9:E9">
    <cfRule type="expression" dxfId="6" priority="7">
      <formula>$E9="Not applicable"</formula>
    </cfRule>
  </conditionalFormatting>
  <conditionalFormatting sqref="E9:E9">
    <cfRule type="expression" dxfId="7" priority="8">
      <formula>OR($E9="Needs answer",$E9="Explain why",LEFT($E9,6)="Review")</formula>
    </cfRule>
  </conditionalFormatting>
  <conditionalFormatting sqref="B10:E10">
    <cfRule type="expression" dxfId="8" priority="9">
      <formula>$E10="Not applicable"</formula>
    </cfRule>
  </conditionalFormatting>
  <conditionalFormatting sqref="E10:E10">
    <cfRule type="expression" dxfId="9" priority="10">
      <formula>OR($E10="Needs answer",$E10="Explain why",LEFT($E10,6)="Review")</formula>
    </cfRule>
  </conditionalFormatting>
  <conditionalFormatting sqref="B11:E11">
    <cfRule type="expression" dxfId="10" priority="11">
      <formula>$E11="Not applicable"</formula>
    </cfRule>
  </conditionalFormatting>
  <conditionalFormatting sqref="E11:E11">
    <cfRule type="expression" dxfId="11" priority="12">
      <formula>OR($E11="Needs answer",$E11="Explain why",LEFT($E11,6)="Review")</formula>
    </cfRule>
  </conditionalFormatting>
  <conditionalFormatting sqref="B12:E12">
    <cfRule type="expression" dxfId="12" priority="13">
      <formula>$E12="Not applicable"</formula>
    </cfRule>
  </conditionalFormatting>
  <conditionalFormatting sqref="E12:E12">
    <cfRule type="expression" dxfId="13" priority="14">
      <formula>OR($E12="Needs answer",$E12="Explain why",LEFT($E12,6)="Review")</formula>
    </cfRule>
  </conditionalFormatting>
  <conditionalFormatting sqref="B13:E13">
    <cfRule type="expression" dxfId="14" priority="15">
      <formula>$E13="Not applicable"</formula>
    </cfRule>
  </conditionalFormatting>
  <conditionalFormatting sqref="E13:E13">
    <cfRule type="expression" dxfId="15" priority="16">
      <formula>OR($E13="Needs answer",$E13="Explain why",LEFT($E13,6)="Review")</formula>
    </cfRule>
  </conditionalFormatting>
  <conditionalFormatting sqref="B14:E14">
    <cfRule type="expression" dxfId="16" priority="17">
      <formula>$E14="Not applicable"</formula>
    </cfRule>
  </conditionalFormatting>
  <conditionalFormatting sqref="E14:E14">
    <cfRule type="expression" dxfId="17" priority="18">
      <formula>OR($E14="Needs answer",$E14="Explain why",LEFT($E14,6)="Review")</formula>
    </cfRule>
  </conditionalFormatting>
  <conditionalFormatting sqref="B15:E15">
    <cfRule type="expression" dxfId="18" priority="19">
      <formula>$E15="Not applicable"</formula>
    </cfRule>
  </conditionalFormatting>
  <conditionalFormatting sqref="E15:E15">
    <cfRule type="expression" dxfId="19" priority="20">
      <formula>OR($E15="Needs answer",$E15="Explain why",LEFT($E15,6)="Review")</formula>
    </cfRule>
  </conditionalFormatting>
  <conditionalFormatting sqref="B16:E16">
    <cfRule type="expression" dxfId="20" priority="21">
      <formula>$E16="Not applicable"</formula>
    </cfRule>
  </conditionalFormatting>
  <conditionalFormatting sqref="E16:E16">
    <cfRule type="expression" dxfId="21" priority="22">
      <formula>OR($E16="Needs answer",$E16="Explain why",LEFT($E16,6)="Review")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How things are now</v>
      </c>
      <c r="C1" s="4"/>
      <c r="D1" s="5" t="str">
        <v>Section 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87" customHeight="1">
      <c r="A6" s="3" t="str">
        <v>diagnosis_categories</v>
      </c>
      <c r="B6" s="21" t="inlineStr">
        <is>
          <r>
            <rPr>
              <b/>
              <sz val="12"/>
              <color rgb="FF233B32"/>
            </rPr>
            <t>Diagnosis categories</t>
          </r>
          <r>
            <rPr>
              <b val="0"/>
              <sz val="10"/>
              <color rgb="FF59675F"/>
            </rPr>
            <t xml:space="preserve">
One per line: Schizophrenia; Schizoaffective disorder; Bipolar disorder; Personality disorder; Substance use disorder; Psychosis; Delusional disorder; Physical health condition; Other.</t>
          </r>
        </is>
      </c>
      <c r="C6" t="str" s="50"/>
      <c r="D6" t="str" s="48"/>
      <c r="E6" s="16" t="str">
        <f>IF(NOT(TRUE),IF(OR(LEN(TRIM(C6&amp;""&amp;C7&amp;""&amp;C8&amp;""&amp;C9&amp;""&amp;C10&amp;""&amp;C11&amp;""&amp;C12&amp;""&amp;C13&amp;""&amp;C14&amp;""&amp;C15&amp;""&amp;C16&amp;""&amp;C17&amp;""&amp;C18&amp;""&amp;C19))&gt;0,LEN(TRIM(D6))&gt;0),"Review previous answer","Not applicable"),IF(AND(LEN(TRIM(D6))&gt;0,NOT(FALSE)),"Review previous reason",IF(AND(FALSE,NOT(LEN(TRIM(D6))&gt;0)),"Explain why",IF(LEN(TRIM(C6&amp;""&amp;C7&amp;""&amp;C8&amp;""&amp;C9&amp;""&amp;C10&amp;""&amp;C11&amp;""&amp;C12&amp;""&amp;C13&amp;""&amp;C14&amp;""&amp;C15&amp;""&amp;C16&amp;""&amp;C17&amp;""&amp;C18&amp;""&amp;C19))&gt;0,"Answered",IF(TRUE,"Needs answer","Optional")))))</f>
        <v>Needs answer</v>
      </c>
    </row>
    <row r="7" ht="88" customHeight="1" hidden="1">
      <c r="A7" s="3" t="str">
        <v>diagnosis_categories:1</v>
      </c>
      <c r="B7" s="3" t="str">
        <v>Diagnosis categories (continued)</v>
      </c>
      <c r="C7" t="str" s="57"/>
      <c r="D7" s="3" t="str"/>
      <c r="E7" s="3"/>
    </row>
    <row r="8" ht="88" customHeight="1" hidden="1">
      <c r="A8" s="3" t="str">
        <v>diagnosis_categories:2</v>
      </c>
      <c r="B8" s="3" t="str">
        <v>Diagnosis categories (continued)</v>
      </c>
      <c r="C8" t="str" s="57"/>
      <c r="D8" s="3" t="str"/>
      <c r="E8" s="3"/>
    </row>
    <row r="9" ht="88" customHeight="1" hidden="1">
      <c r="A9" s="3" t="str">
        <v>diagnosis_categories:3</v>
      </c>
      <c r="B9" s="3" t="str">
        <v>Diagnosis categories (continued)</v>
      </c>
      <c r="C9" t="str" s="57"/>
      <c r="D9" s="3" t="str"/>
      <c r="E9" s="3"/>
    </row>
    <row r="10" ht="88" customHeight="1" hidden="1">
      <c r="A10" s="3" t="str">
        <v>diagnosis_categories:4</v>
      </c>
      <c r="B10" s="3" t="str">
        <v>Diagnosis categories (continued)</v>
      </c>
      <c r="C10" t="str" s="57"/>
      <c r="D10" s="3" t="str"/>
      <c r="E10" s="3"/>
    </row>
    <row r="11" ht="88" customHeight="1" hidden="1">
      <c r="A11" s="3" t="str">
        <v>diagnosis_categories:5</v>
      </c>
      <c r="B11" s="3" t="str">
        <v>Diagnosis categories (continued)</v>
      </c>
      <c r="C11" t="str" s="57"/>
      <c r="D11" s="3" t="str"/>
      <c r="E11" s="3"/>
    </row>
    <row r="12" ht="88" customHeight="1" hidden="1">
      <c r="A12" s="3" t="str">
        <v>diagnosis_categories:6</v>
      </c>
      <c r="B12" s="3" t="str">
        <v>Diagnosis categories (continued)</v>
      </c>
      <c r="C12" t="str" s="57"/>
      <c r="D12" s="3" t="str"/>
      <c r="E12" s="3"/>
    </row>
    <row r="13" ht="88" customHeight="1" hidden="1">
      <c r="A13" s="3" t="str">
        <v>diagnosis_categories:7</v>
      </c>
      <c r="B13" s="3" t="str">
        <v>Diagnosis categories (continued)</v>
      </c>
      <c r="C13" t="str" s="57"/>
      <c r="D13" s="3" t="str"/>
      <c r="E13" s="3"/>
    </row>
    <row r="14" ht="88" customHeight="1" hidden="1">
      <c r="A14" s="3" t="str">
        <v>diagnosis_categories:8</v>
      </c>
      <c r="B14" s="3" t="str">
        <v>Diagnosis categories (continued)</v>
      </c>
      <c r="C14" t="str" s="57"/>
      <c r="D14" s="3" t="str"/>
      <c r="E14" s="3"/>
    </row>
    <row r="15" ht="88" customHeight="1" hidden="1">
      <c r="A15" s="3" t="str">
        <v>diagnosis_categories:9</v>
      </c>
      <c r="B15" s="3" t="str">
        <v>Diagnosis categories (continued)</v>
      </c>
      <c r="C15" t="str" s="57"/>
      <c r="D15" s="3" t="str"/>
      <c r="E15" s="3"/>
    </row>
    <row r="16" ht="88" customHeight="1" hidden="1">
      <c r="A16" s="3" t="str">
        <v>diagnosis_categories:10</v>
      </c>
      <c r="B16" s="3" t="str">
        <v>Diagnosis categories (continued)</v>
      </c>
      <c r="C16" t="str" s="57"/>
      <c r="D16" s="3" t="str"/>
      <c r="E16" s="3"/>
    </row>
    <row r="17" ht="88" customHeight="1" hidden="1">
      <c r="A17" s="3" t="str">
        <v>diagnosis_categories:11</v>
      </c>
      <c r="B17" s="3" t="str">
        <v>Diagnosis categories (continued)</v>
      </c>
      <c r="C17" t="str" s="57"/>
      <c r="D17" s="3" t="str"/>
      <c r="E17" s="3"/>
    </row>
    <row r="18" ht="88" customHeight="1" hidden="1">
      <c r="A18" s="3" t="str">
        <v>diagnosis_categories:12</v>
      </c>
      <c r="B18" s="3" t="str">
        <v>Diagnosis categories (continued)</v>
      </c>
      <c r="C18" t="str" s="57"/>
      <c r="D18" s="3" t="str"/>
      <c r="E18" s="3"/>
    </row>
    <row r="19" ht="88" customHeight="1" hidden="1">
      <c r="A19" s="3" t="str">
        <v>diagnosis_categories:13</v>
      </c>
      <c r="B19" s="3" t="str">
        <v>Diagnosis categories (continued)</v>
      </c>
      <c r="C19" t="str" s="57"/>
      <c r="D19" s="3" t="str"/>
      <c r="E19" s="3"/>
    </row>
    <row r="20" ht="51" customHeight="1">
      <c r="A20" s="3" t="str">
        <v>diagnosis_other_detail</v>
      </c>
      <c r="B20" s="21" t="inlineStr">
        <is>
          <r>
            <rPr>
              <b/>
              <sz val="12"/>
              <color rgb="FF233B32"/>
            </rPr>
            <t>Other diagnosis</t>
          </r>
          <r>
            <rPr>
              <b val="0"/>
              <sz val="10"/>
              <color rgb="FF59675F"/>
            </rPr>
            <t xml:space="preserve">
Only if Diagnosis categories includes Other.</t>
          </r>
        </is>
      </c>
      <c r="C20" t="str" s="50"/>
      <c r="D20" t="str" s="48"/>
      <c r="E20" s="16" t="str">
        <f>IF(NOT(AND(OR(ISNUMBER(SEARCH(CHAR(10)&amp;"other"&amp;CHAR(10),CHAR(10)&amp;LOWER(SUBSTITUTE('02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now'!$C$6,CHAR(13),""))&amp;CHAR(10)))))),IF(OR(LEN(TRIM(C20))&gt;0,LEN(TRIM(D20))&gt;0),"Review previous answer","Not applicable"),IF(AND(LEN(TRIM(D20))&gt;0,NOT(FALSE)),"Review previous reason",IF(AND(FALSE,NOT(LEN(TRIM(D20))&gt;0)),"Explain why",IF(LEN(TRIM(C20))&gt;0,"Answered",IF(OR(ISNUMBER(SEARCH(CHAR(10)&amp;"other"&amp;CHAR(10),CHAR(10)&amp;LOWER(SUBSTITUTE('02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now'!$C$6,CHAR(13),""))&amp;CHAR(10)))),"Needs answer","Optional")))))</f>
        <v>Not applicable</v>
      </c>
    </row>
    <row r="21" ht="72" customHeight="1">
      <c r="A21" s="3" t="str">
        <v>secondary_diagnoses</v>
      </c>
      <c r="B21" s="13" t="str">
        <v>Secondary diagnosis</v>
      </c>
      <c r="C21" t="str" s="50"/>
      <c r="D21" t="str" s="48"/>
      <c r="E21" s="16" t="str">
        <f>IF(NOT(TRUE),IF(OR(LEN(TRIM(C21&amp;""&amp;C22&amp;""&amp;C23&amp;""&amp;C24&amp;""&amp;C25&amp;""&amp;C26&amp;""&amp;C27&amp;""&amp;C28&amp;""&amp;C29&amp;""&amp;C30&amp;""&amp;C31&amp;""&amp;C32&amp;""&amp;C33&amp;""&amp;C34))&gt;0,LEN(TRIM(D21))&gt;0),"Review previous answer","Not applicable"),IF(AND(LEN(TRIM(D21))&gt;0,NOT(FALSE)),"Review previous reason",IF(AND(FALSE,NOT(LEN(TRIM(D21))&gt;0)),"Explain why",IF(LEN(TRIM(C21&amp;""&amp;C22&amp;""&amp;C23&amp;""&amp;C24&amp;""&amp;C25&amp;""&amp;C26&amp;""&amp;C27&amp;""&amp;C28&amp;""&amp;C29&amp;""&amp;C30&amp;""&amp;C31&amp;""&amp;C32&amp;""&amp;C33&amp;""&amp;C34))&gt;0,"Answered",IF(FALSE,"Needs answer","Optional")))))</f>
        <v>Optional</v>
      </c>
    </row>
    <row r="22" ht="88" customHeight="1" hidden="1">
      <c r="A22" s="3" t="str">
        <v>secondary_diagnoses:1</v>
      </c>
      <c r="B22" s="3" t="str">
        <v>Secondary diagnosis (continued)</v>
      </c>
      <c r="C22" t="str" s="57"/>
      <c r="D22" s="3" t="str"/>
      <c r="E22" s="3"/>
    </row>
    <row r="23" ht="88" customHeight="1" hidden="1">
      <c r="A23" s="3" t="str">
        <v>secondary_diagnoses:2</v>
      </c>
      <c r="B23" s="3" t="str">
        <v>Secondary diagnosis (continued)</v>
      </c>
      <c r="C23" t="str" s="57"/>
      <c r="D23" s="3" t="str"/>
      <c r="E23" s="3"/>
    </row>
    <row r="24" ht="88" customHeight="1" hidden="1">
      <c r="A24" s="3" t="str">
        <v>secondary_diagnoses:3</v>
      </c>
      <c r="B24" s="3" t="str">
        <v>Secondary diagnosis (continued)</v>
      </c>
      <c r="C24" t="str" s="57"/>
      <c r="D24" s="3" t="str"/>
      <c r="E24" s="3"/>
    </row>
    <row r="25" ht="88" customHeight="1" hidden="1">
      <c r="A25" s="3" t="str">
        <v>secondary_diagnoses:4</v>
      </c>
      <c r="B25" s="3" t="str">
        <v>Secondary diagnosis (continued)</v>
      </c>
      <c r="C25" t="str" s="57"/>
      <c r="D25" s="3" t="str"/>
      <c r="E25" s="3"/>
    </row>
    <row r="26" ht="88" customHeight="1" hidden="1">
      <c r="A26" s="3" t="str">
        <v>secondary_diagnoses:5</v>
      </c>
      <c r="B26" s="3" t="str">
        <v>Secondary diagnosis (continued)</v>
      </c>
      <c r="C26" t="str" s="57"/>
      <c r="D26" s="3" t="str"/>
      <c r="E26" s="3"/>
    </row>
    <row r="27" ht="88" customHeight="1" hidden="1">
      <c r="A27" s="3" t="str">
        <v>secondary_diagnoses:6</v>
      </c>
      <c r="B27" s="3" t="str">
        <v>Secondary diagnosis (continued)</v>
      </c>
      <c r="C27" t="str" s="57"/>
      <c r="D27" s="3" t="str"/>
      <c r="E27" s="3"/>
    </row>
    <row r="28" ht="88" customHeight="1" hidden="1">
      <c r="A28" s="3" t="str">
        <v>secondary_diagnoses:7</v>
      </c>
      <c r="B28" s="3" t="str">
        <v>Secondary diagnosis (continued)</v>
      </c>
      <c r="C28" t="str" s="57"/>
      <c r="D28" s="3" t="str"/>
      <c r="E28" s="3"/>
    </row>
    <row r="29" ht="88" customHeight="1" hidden="1">
      <c r="A29" s="3" t="str">
        <v>secondary_diagnoses:8</v>
      </c>
      <c r="B29" s="3" t="str">
        <v>Secondary diagnosis (continued)</v>
      </c>
      <c r="C29" t="str" s="57"/>
      <c r="D29" s="3" t="str"/>
      <c r="E29" s="3"/>
    </row>
    <row r="30" ht="88" customHeight="1" hidden="1">
      <c r="A30" s="3" t="str">
        <v>secondary_diagnoses:9</v>
      </c>
      <c r="B30" s="3" t="str">
        <v>Secondary diagnosis (continued)</v>
      </c>
      <c r="C30" t="str" s="57"/>
      <c r="D30" s="3" t="str"/>
      <c r="E30" s="3"/>
    </row>
    <row r="31" ht="88" customHeight="1" hidden="1">
      <c r="A31" s="3" t="str">
        <v>secondary_diagnoses:10</v>
      </c>
      <c r="B31" s="3" t="str">
        <v>Secondary diagnosis (continued)</v>
      </c>
      <c r="C31" t="str" s="57"/>
      <c r="D31" s="3" t="str"/>
      <c r="E31" s="3"/>
    </row>
    <row r="32" ht="88" customHeight="1" hidden="1">
      <c r="A32" s="3" t="str">
        <v>secondary_diagnoses:11</v>
      </c>
      <c r="B32" s="3" t="str">
        <v>Secondary diagnosis (continued)</v>
      </c>
      <c r="C32" t="str" s="57"/>
      <c r="D32" s="3" t="str"/>
      <c r="E32" s="3"/>
    </row>
    <row r="33" ht="88" customHeight="1" hidden="1">
      <c r="A33" s="3" t="str">
        <v>secondary_diagnoses:12</v>
      </c>
      <c r="B33" s="3" t="str">
        <v>Secondary diagnosis (continued)</v>
      </c>
      <c r="C33" t="str" s="57"/>
      <c r="D33" s="3" t="str"/>
      <c r="E33" s="3"/>
    </row>
    <row r="34" ht="88" customHeight="1" hidden="1">
      <c r="A34" s="3" t="str">
        <v>secondary_diagnoses:13</v>
      </c>
      <c r="B34" s="3" t="str">
        <v>Secondary diagnosis (continued)</v>
      </c>
      <c r="C34" t="str" s="57"/>
      <c r="D34" s="3" t="str"/>
      <c r="E34" s="3"/>
    </row>
    <row r="35" ht="72" customHeight="1">
      <c r="A35" s="3" t="str">
        <v>current_symptoms</v>
      </c>
      <c r="B35" s="13" t="str">
        <v>Current symptoms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why",IF(LEN(TRIM(C35))&gt;0,"Answered",IF(TRUE,"Needs answer","Optional")))))</f>
        <v>Needs answer</v>
      </c>
    </row>
    <row r="36" ht="72" customHeight="1">
      <c r="A36" s="3" t="str">
        <v>cognition_orientation</v>
      </c>
      <c r="B36" s="13" t="str">
        <v>Cognition / orientation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primary_diagnosis</v>
      </c>
      <c r="B37" s="13" t="str">
        <v>Primary diagnosis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acuity_level</v>
      </c>
      <c r="B38" s="13" t="str">
        <v>Acuity level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2" priority="1">
      <formula>$E6="Not applicable"</formula>
    </cfRule>
  </conditionalFormatting>
  <conditionalFormatting sqref="E6:E6">
    <cfRule type="expression" dxfId="23" priority="2">
      <formula>OR($E6="Needs answer",$E6="Explain why",LEFT($E6,6)="Review")</formula>
    </cfRule>
  </conditionalFormatting>
  <conditionalFormatting sqref="B20:E20">
    <cfRule type="expression" dxfId="24" priority="3">
      <formula>$E20="Not applicable"</formula>
    </cfRule>
  </conditionalFormatting>
  <conditionalFormatting sqref="E20:E20">
    <cfRule type="expression" dxfId="25" priority="4">
      <formula>OR($E20="Needs answer",$E20="Explain why",LEFT($E20,6)="Review")</formula>
    </cfRule>
  </conditionalFormatting>
  <conditionalFormatting sqref="B21:E21">
    <cfRule type="expression" dxfId="26" priority="5">
      <formula>$E21="Not applicable"</formula>
    </cfRule>
  </conditionalFormatting>
  <conditionalFormatting sqref="E21:E21">
    <cfRule type="expression" dxfId="27" priority="6">
      <formula>OR($E21="Needs answer",$E21="Explain why",LEFT($E21,6)="Review")</formula>
    </cfRule>
  </conditionalFormatting>
  <conditionalFormatting sqref="B35:E35">
    <cfRule type="expression" dxfId="28" priority="7">
      <formula>$E35="Not applicable"</formula>
    </cfRule>
  </conditionalFormatting>
  <conditionalFormatting sqref="E35:E35">
    <cfRule type="expression" dxfId="29" priority="8">
      <formula>OR($E35="Needs answer",$E35="Explain why",LEFT($E35,6)="Review")</formula>
    </cfRule>
  </conditionalFormatting>
  <conditionalFormatting sqref="B36:E36">
    <cfRule type="expression" dxfId="30" priority="9">
      <formula>$E36="Not applicable"</formula>
    </cfRule>
  </conditionalFormatting>
  <conditionalFormatting sqref="E36:E36">
    <cfRule type="expression" dxfId="31" priority="10">
      <formula>OR($E36="Needs answer",$E36="Explain why",LEFT($E36,6)="Review")</formula>
    </cfRule>
  </conditionalFormatting>
  <conditionalFormatting sqref="B37:E37">
    <cfRule type="expression" dxfId="32" priority="11">
      <formula>$E37="Not applicable"</formula>
    </cfRule>
  </conditionalFormatting>
  <conditionalFormatting sqref="E37:E37">
    <cfRule type="expression" dxfId="33" priority="12">
      <formula>OR($E37="Needs answer",$E37="Explain why",LEFT($E37,6)="Review")</formula>
    </cfRule>
  </conditionalFormatting>
  <conditionalFormatting sqref="B38:E38">
    <cfRule type="expression" dxfId="34" priority="13">
      <formula>$E38="Not applicable"</formula>
    </cfRule>
  </conditionalFormatting>
  <conditionalFormatting sqref="E38:E38">
    <cfRule type="expression" dxfId="35" priority="14">
      <formula>OR($E38="Needs answer",$E38="Explain why",LEFT($E38,6)="Review")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 usual day</v>
      </c>
      <c r="C1" s="4"/>
      <c r="D1" s="5" t="str">
        <v>Section 3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dress_assistance_level</v>
      </c>
      <c r="B6" s="13" t="str">
        <v>Ability to dress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72" customHeight="1">
      <c r="A7" s="3" t="str">
        <v>dress_assistance_details</v>
      </c>
      <c r="B7" s="21" t="inlineStr">
        <is>
          <r>
            <rPr>
              <b/>
              <sz val="12"/>
              <color rgb="FF233B32"/>
            </rPr>
            <t>Dressing assistance needed</t>
          </r>
          <r>
            <rPr>
              <b val="0"/>
              <sz val="10"/>
              <color rgb="FF59675F"/>
            </rPr>
            <t xml:space="preserve">
Only if Ability to dress is Some assistance or Total assistance.</t>
          </r>
        </is>
      </c>
      <c r="C7" t="str" s="50"/>
      <c r="D7" t="str" s="48"/>
      <c r="E7" s="16" t="str">
        <f>IF(NOT(AND(OR(LOWER(TRIM('03 A usual day'!$C$6&amp;""))="some_assistance",LOWER(TRIM('03 A usual day'!$C$6&amp;""))="some assistance",LOWER(TRIM('03 A usual day'!$C$6&amp;""))="total_assistance",LOWER(TRIM('03 A usual day'!$C$6&amp;""))="total assistance"))),IF(OR(LEN(TRIM(C7))&gt;0,LEN(TRIM(D7))&gt;0),"Review previous answer","Not applicable"),IF(AND(LEN(TRIM(D7))&gt;0,NOT(FALSE)),"Review previous reason",IF(AND(FALSE,NOT(LEN(TRIM(D7))&gt;0)),"Explain why",IF(LEN(TRIM(C7))&gt;0,"Answered",IF(OR(LOWER(TRIM('03 A usual day'!$C$6&amp;""))="some_assistance",LOWER(TRIM('03 A usual day'!$C$6&amp;""))="some assistance",LOWER(TRIM('03 A usual day'!$C$6&amp;""))="total_assistance",LOWER(TRIM('03 A usual day'!$C$6&amp;""))="total assistance"),"Needs answer","Optional")))))</f>
        <v>Not applicable</v>
      </c>
    </row>
    <row r="8" ht="34" customHeight="1">
      <c r="A8" s="3" t="str">
        <v>bathing_assistance_level</v>
      </c>
      <c r="B8" s="13" t="str">
        <v>Ability to bathe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72" customHeight="1">
      <c r="A9" s="3" t="str">
        <v>bathing_assistance_details</v>
      </c>
      <c r="B9" s="21" t="inlineStr">
        <is>
          <r>
            <rPr>
              <b/>
              <sz val="12"/>
              <color rgb="FF233B32"/>
            </rPr>
            <t>Bathing assistance needed</t>
          </r>
          <r>
            <rPr>
              <b val="0"/>
              <sz val="10"/>
              <color rgb="FF59675F"/>
            </rPr>
            <t xml:space="preserve">
Only if Ability to bathe is Some assistance or Total assistance.</t>
          </r>
        </is>
      </c>
      <c r="C9" t="str" s="50"/>
      <c r="D9" t="str" s="48"/>
      <c r="E9" s="16" t="str">
        <f>IF(NOT(AND(OR(LOWER(TRIM('03 A usual day'!$C$8&amp;""))="some_assistance",LOWER(TRIM('03 A usual day'!$C$8&amp;""))="some assistance",LOWER(TRIM('03 A usual day'!$C$8&amp;""))="total_assistance",LOWER(TRIM('03 A usual day'!$C$8&amp;""))="total assistance"))),IF(OR(LEN(TRIM(C9))&gt;0,LEN(TRIM(D9))&gt;0),"Review previous answer","Not applicable"),IF(AND(LEN(TRIM(D9))&gt;0,NOT(FALSE)),"Review previous reason",IF(AND(FALSE,NOT(LEN(TRIM(D9))&gt;0)),"Explain why",IF(LEN(TRIM(C9))&gt;0,"Answered",IF(OR(LOWER(TRIM('03 A usual day'!$C$8&amp;""))="some_assistance",LOWER(TRIM('03 A usual day'!$C$8&amp;""))="some assistance",LOWER(TRIM('03 A usual day'!$C$8&amp;""))="total_assistance",LOWER(TRIM('03 A usual day'!$C$8&amp;""))="total assistance"),"Needs answer","Optional")))))</f>
        <v>Not applicable</v>
      </c>
    </row>
    <row r="10" ht="51" customHeight="1">
      <c r="A10" s="3" t="str">
        <v>overall_hygiene_rating</v>
      </c>
      <c r="B10" s="21" t="inlineStr">
        <is>
          <r>
            <rPr>
              <b/>
              <sz val="12"/>
              <color rgb="FF233B32"/>
            </rPr>
            <t>Overall hygiene</t>
          </r>
          <r>
            <rPr>
              <b val="0"/>
              <sz val="10"/>
              <color rgb="FF59675F"/>
            </rPr>
            <t xml:space="preserve">
1 indicates significant concern; 5 indicates strong hygiene.</t>
          </r>
        </is>
      </c>
      <c r="C10" t="str" s="58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72" customHeight="1">
      <c r="A11" s="3" t="str">
        <v>adl_needs</v>
      </c>
      <c r="B11" s="13" t="str">
        <v>ADL needs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34" customHeight="1">
      <c r="A12" s="3" t="str">
        <v>prompting_level</v>
      </c>
      <c r="B12" s="13" t="str">
        <v>Prompting level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34" customHeight="1">
      <c r="A13" s="3" t="str">
        <v>self_care_status</v>
      </c>
      <c r="B13" s="13" t="str">
        <v>Self-care status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  <row r="14" ht="34" customHeight="1">
      <c r="A14" s="3" t="str">
        <v>ambulatory</v>
      </c>
      <c r="B14" s="13" t="str">
        <v>Ambulatory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39" customHeight="1">
      <c r="A15" s="3" t="str">
        <v>mobility</v>
      </c>
      <c r="B15" s="21" t="inlineStr">
        <is>
          <r>
            <rPr>
              <b/>
              <sz val="12"/>
              <color rgb="FF233B32"/>
            </rPr>
            <t>Type of device</t>
          </r>
          <r>
            <rPr>
              <b val="0"/>
              <sz val="10"/>
              <color rgb="FF59675F"/>
            </rPr>
            <t xml:space="preserve">
Only if Ambulatory is No.</t>
          </r>
        </is>
      </c>
      <c r="C15" t="str" s="50"/>
      <c r="D15" t="str" s="48"/>
      <c r="E15" s="16" t="str">
        <f>IF(NOT(AND(OR(LOWER(TRIM('03 A usual day'!$C$14&amp;""))="no",LOWER(TRIM('03 A usual day'!$C$14&amp;""))="no"))),IF(OR(LEN(TRIM(C15))&gt;0,LEN(TRIM(D15))&gt;0),"Review previous answer","Not applicable"),IF(AND(LEN(TRIM(D15))&gt;0,NOT(FALSE)),"Review previous reason",IF(AND(FALSE,NOT(LEN(TRIM(D15))&gt;0)),"Explain why",IF(LEN(TRIM(C15))&gt;0,"Answered",IF(OR(LOWER(TRIM('03 A usual day'!$C$14&amp;""))="no",LOWER(TRIM('03 A usual day'!$C$14&amp;""))="no"),"Needs answer","Optional")))))</f>
        <v>Not applicable</v>
      </c>
    </row>
    <row r="16" ht="34" customHeight="1">
      <c r="A16" s="3" t="str">
        <v>language_barrier</v>
      </c>
      <c r="B16" s="13" t="str">
        <v>Language barrier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72" customHeight="1">
      <c r="A17" s="3" t="str">
        <v>language_barrier_details</v>
      </c>
      <c r="B17" s="21" t="inlineStr">
        <is>
          <r>
            <rPr>
              <b/>
              <sz val="12"/>
              <color rgb="FF233B32"/>
            </rPr>
            <t>Language support needed</t>
          </r>
          <r>
            <rPr>
              <b val="0"/>
              <sz val="10"/>
              <color rgb="FF59675F"/>
            </rPr>
            <t xml:space="preserve">
Only if Language barrier is Yes.</t>
          </r>
        </is>
      </c>
      <c r="C17" t="str" s="50"/>
      <c r="D17" t="str" s="48"/>
      <c r="E17" s="16" t="str">
        <f>IF(NOT(AND(OR(LOWER(TRIM('03 A usual day'!$C$16&amp;""))="yes",LOWER(TRIM('03 A usual day'!$C$16&amp;""))="yes"))),IF(OR(LEN(TRIM(C17))&gt;0,LEN(TRIM(D17))&gt;0),"Review previous answer","Not applicable"),IF(AND(LEN(TRIM(D17))&gt;0,NOT(FALSE)),"Review previous reason",IF(AND(FALSE,NOT(LEN(TRIM(D17))&gt;0)),"Explain why",IF(LEN(TRIM(C17))&gt;0,"Answered",IF(OR(LOWER(TRIM('03 A usual day'!$C$16&amp;""))="yes",LOWER(TRIM('03 A usual day'!$C$16&amp;""))="yes"),"Needs answer","Optional")))))</f>
        <v>Not applicable</v>
      </c>
    </row>
    <row r="18" ht="34" customHeight="1">
      <c r="A18" s="3" t="str">
        <v>linear_conversation</v>
      </c>
      <c r="B18" s="13" t="str">
        <v>Can hold a linear conversation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72" customHeight="1">
      <c r="A19" s="3" t="str">
        <v>linear_conversation_details</v>
      </c>
      <c r="B19" s="21" t="inlineStr">
        <is>
          <r>
            <rPr>
              <b/>
              <sz val="12"/>
              <color rgb="FF233B32"/>
            </rPr>
            <t>Conversation barriers</t>
          </r>
          <r>
            <rPr>
              <b val="0"/>
              <sz val="10"/>
              <color rgb="FF59675F"/>
            </rPr>
            <t xml:space="preserve">
Only if Can hold a linear conversation is No.</t>
          </r>
        </is>
      </c>
      <c r="C19" t="str" s="50"/>
      <c r="D19" t="str" s="48"/>
      <c r="E19" s="16" t="str">
        <f>IF(NOT(AND(OR(LOWER(TRIM('03 A usual day'!$C$18&amp;""))="no",LOWER(TRIM('03 A usual day'!$C$18&amp;""))="no"))),IF(OR(LEN(TRIM(C19))&gt;0,LEN(TRIM(D19))&gt;0),"Review previous answer","Not applicable"),IF(AND(LEN(TRIM(D19))&gt;0,NOT(FALSE)),"Review previous reason",IF(AND(FALSE,NOT(LEN(TRIM(D19))&gt;0)),"Explain why",IF(LEN(TRIM(C19))&gt;0,"Answered",IF(OR(LOWER(TRIM('03 A usual day'!$C$18&amp;""))="no",LOWER(TRIM('03 A usual day'!$C$18&amp;""))="no"),"Needs answer","Optional")))))</f>
        <v>Not applicable</v>
      </c>
    </row>
    <row r="20" ht="34" customHeight="1">
      <c r="A20" s="3" t="str">
        <v>peer_interaction_rating</v>
      </c>
      <c r="B20" s="13" t="str">
        <v>Interaction with peers</v>
      </c>
      <c r="C20" t="str" s="58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why",IF(LEN(TRIM(C20))&gt;0,"Answered",IF(TRUE,"Needs answer","Optional")))))</f>
        <v>Needs answer</v>
      </c>
    </row>
    <row r="21" ht="72" customHeight="1">
      <c r="A21" s="3" t="str">
        <v>peer_interaction_notes</v>
      </c>
      <c r="B21" s="13" t="str">
        <v>Peer interaction notes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staff_interaction_rating</v>
      </c>
      <c r="B22" s="13" t="str">
        <v>Interaction with staff</v>
      </c>
      <c r="C22" t="str" s="58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why",IF(LEN(TRIM(C22))&gt;0,"Answered",IF(TRUE,"Needs answer","Optional")))))</f>
        <v>Needs answer</v>
      </c>
    </row>
    <row r="23" ht="72" customHeight="1">
      <c r="A23" s="3" t="str">
        <v>staff_interaction_notes</v>
      </c>
      <c r="B23" s="13" t="str">
        <v>Staff interaction notes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participates_in_programming</v>
      </c>
      <c r="B24" s="13" t="str">
        <v>Participates in programming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72" customHeight="1">
      <c r="A25" s="3" t="str">
        <v>programming_notes</v>
      </c>
      <c r="B25" s="13" t="str">
        <v>Programming notes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6" priority="1">
      <formula>$E6="Not applicable"</formula>
    </cfRule>
  </conditionalFormatting>
  <conditionalFormatting sqref="E6:E6">
    <cfRule type="expression" dxfId="37" priority="2">
      <formula>OR($E6="Needs answer",$E6="Explain why",LEFT($E6,6)="Review")</formula>
    </cfRule>
  </conditionalFormatting>
  <conditionalFormatting sqref="B7:E7">
    <cfRule type="expression" dxfId="38" priority="3">
      <formula>$E7="Not applicable"</formula>
    </cfRule>
  </conditionalFormatting>
  <conditionalFormatting sqref="E7:E7">
    <cfRule type="expression" dxfId="39" priority="4">
      <formula>OR($E7="Needs answer",$E7="Explain why",LEFT($E7,6)="Review")</formula>
    </cfRule>
  </conditionalFormatting>
  <conditionalFormatting sqref="B8:E8">
    <cfRule type="expression" dxfId="40" priority="5">
      <formula>$E8="Not applicable"</formula>
    </cfRule>
  </conditionalFormatting>
  <conditionalFormatting sqref="E8:E8">
    <cfRule type="expression" dxfId="41" priority="6">
      <formula>OR($E8="Needs answer",$E8="Explain why",LEFT($E8,6)="Review")</formula>
    </cfRule>
  </conditionalFormatting>
  <conditionalFormatting sqref="B9:E9">
    <cfRule type="expression" dxfId="42" priority="7">
      <formula>$E9="Not applicable"</formula>
    </cfRule>
  </conditionalFormatting>
  <conditionalFormatting sqref="E9:E9">
    <cfRule type="expression" dxfId="43" priority="8">
      <formula>OR($E9="Needs answer",$E9="Explain why",LEFT($E9,6)="Review")</formula>
    </cfRule>
  </conditionalFormatting>
  <conditionalFormatting sqref="B10:E10">
    <cfRule type="expression" dxfId="44" priority="9">
      <formula>$E10="Not applicable"</formula>
    </cfRule>
  </conditionalFormatting>
  <conditionalFormatting sqref="E10:E10">
    <cfRule type="expression" dxfId="45" priority="10">
      <formula>OR($E10="Needs answer",$E10="Explain why",LEFT($E10,6)="Review")</formula>
    </cfRule>
  </conditionalFormatting>
  <conditionalFormatting sqref="B11:E11">
    <cfRule type="expression" dxfId="46" priority="11">
      <formula>$E11="Not applicable"</formula>
    </cfRule>
  </conditionalFormatting>
  <conditionalFormatting sqref="E11:E11">
    <cfRule type="expression" dxfId="47" priority="12">
      <formula>OR($E11="Needs answer",$E11="Explain why",LEFT($E11,6)="Review")</formula>
    </cfRule>
  </conditionalFormatting>
  <conditionalFormatting sqref="B12:E12">
    <cfRule type="expression" dxfId="48" priority="13">
      <formula>$E12="Not applicable"</formula>
    </cfRule>
  </conditionalFormatting>
  <conditionalFormatting sqref="E12:E12">
    <cfRule type="expression" dxfId="49" priority="14">
      <formula>OR($E12="Needs answer",$E12="Explain why",LEFT($E12,6)="Review")</formula>
    </cfRule>
  </conditionalFormatting>
  <conditionalFormatting sqref="B13:E13">
    <cfRule type="expression" dxfId="50" priority="15">
      <formula>$E13="Not applicable"</formula>
    </cfRule>
  </conditionalFormatting>
  <conditionalFormatting sqref="E13:E13">
    <cfRule type="expression" dxfId="51" priority="16">
      <formula>OR($E13="Needs answer",$E13="Explain why",LEFT($E13,6)="Review")</formula>
    </cfRule>
  </conditionalFormatting>
  <conditionalFormatting sqref="B14:E14">
    <cfRule type="expression" dxfId="52" priority="17">
      <formula>$E14="Not applicable"</formula>
    </cfRule>
  </conditionalFormatting>
  <conditionalFormatting sqref="E14:E14">
    <cfRule type="expression" dxfId="53" priority="18">
      <formula>OR($E14="Needs answer",$E14="Explain why",LEFT($E14,6)="Review")</formula>
    </cfRule>
  </conditionalFormatting>
  <conditionalFormatting sqref="D14:D14">
    <cfRule type="expression" dxfId="54" priority="19">
      <formula>OR($C14="Unable to assess",$C14="unable_to_assess")</formula>
    </cfRule>
  </conditionalFormatting>
  <conditionalFormatting sqref="B15:E15">
    <cfRule type="expression" dxfId="55" priority="20">
      <formula>$E15="Not applicable"</formula>
    </cfRule>
  </conditionalFormatting>
  <conditionalFormatting sqref="E15:E15">
    <cfRule type="expression" dxfId="56" priority="21">
      <formula>OR($E15="Needs answer",$E15="Explain why",LEFT($E15,6)="Review")</formula>
    </cfRule>
  </conditionalFormatting>
  <conditionalFormatting sqref="B16:E16">
    <cfRule type="expression" dxfId="57" priority="22">
      <formula>$E16="Not applicable"</formula>
    </cfRule>
  </conditionalFormatting>
  <conditionalFormatting sqref="E16:E16">
    <cfRule type="expression" dxfId="58" priority="23">
      <formula>OR($E16="Needs answer",$E16="Explain why",LEFT($E16,6)="Review")</formula>
    </cfRule>
  </conditionalFormatting>
  <conditionalFormatting sqref="D16:D16">
    <cfRule type="expression" dxfId="59" priority="24">
      <formula>OR($C16="Unable to assess",$C16="unable_to_assess")</formula>
    </cfRule>
  </conditionalFormatting>
  <conditionalFormatting sqref="B17:E17">
    <cfRule type="expression" dxfId="60" priority="25">
      <formula>$E17="Not applicable"</formula>
    </cfRule>
  </conditionalFormatting>
  <conditionalFormatting sqref="E17:E17">
    <cfRule type="expression" dxfId="61" priority="26">
      <formula>OR($E17="Needs answer",$E17="Explain why",LEFT($E17,6)="Review")</formula>
    </cfRule>
  </conditionalFormatting>
  <conditionalFormatting sqref="B18:E18">
    <cfRule type="expression" dxfId="62" priority="27">
      <formula>$E18="Not applicable"</formula>
    </cfRule>
  </conditionalFormatting>
  <conditionalFormatting sqref="E18:E18">
    <cfRule type="expression" dxfId="63" priority="28">
      <formula>OR($E18="Needs answer",$E18="Explain why",LEFT($E18,6)="Review")</formula>
    </cfRule>
  </conditionalFormatting>
  <conditionalFormatting sqref="D18:D18">
    <cfRule type="expression" dxfId="64" priority="29">
      <formula>OR($C18="Unable to assess",$C18="unable_to_assess")</formula>
    </cfRule>
  </conditionalFormatting>
  <conditionalFormatting sqref="B19:E19">
    <cfRule type="expression" dxfId="65" priority="30">
      <formula>$E19="Not applicable"</formula>
    </cfRule>
  </conditionalFormatting>
  <conditionalFormatting sqref="E19:E19">
    <cfRule type="expression" dxfId="66" priority="31">
      <formula>OR($E19="Needs answer",$E19="Explain why",LEFT($E19,6)="Review")</formula>
    </cfRule>
  </conditionalFormatting>
  <conditionalFormatting sqref="B20:E20">
    <cfRule type="expression" dxfId="67" priority="32">
      <formula>$E20="Not applicable"</formula>
    </cfRule>
  </conditionalFormatting>
  <conditionalFormatting sqref="E20:E20">
    <cfRule type="expression" dxfId="68" priority="33">
      <formula>OR($E20="Needs answer",$E20="Explain why",LEFT($E20,6)="Review")</formula>
    </cfRule>
  </conditionalFormatting>
  <conditionalFormatting sqref="B21:E21">
    <cfRule type="expression" dxfId="69" priority="34">
      <formula>$E21="Not applicable"</formula>
    </cfRule>
  </conditionalFormatting>
  <conditionalFormatting sqref="E21:E21">
    <cfRule type="expression" dxfId="70" priority="35">
      <formula>OR($E21="Needs answer",$E21="Explain why",LEFT($E21,6)="Review")</formula>
    </cfRule>
  </conditionalFormatting>
  <conditionalFormatting sqref="B22:E22">
    <cfRule type="expression" dxfId="71" priority="36">
      <formula>$E22="Not applicable"</formula>
    </cfRule>
  </conditionalFormatting>
  <conditionalFormatting sqref="E22:E22">
    <cfRule type="expression" dxfId="72" priority="37">
      <formula>OR($E22="Needs answer",$E22="Explain why",LEFT($E22,6)="Review")</formula>
    </cfRule>
  </conditionalFormatting>
  <conditionalFormatting sqref="B23:E23">
    <cfRule type="expression" dxfId="73" priority="38">
      <formula>$E23="Not applicable"</formula>
    </cfRule>
  </conditionalFormatting>
  <conditionalFormatting sqref="E23:E23">
    <cfRule type="expression" dxfId="74" priority="39">
      <formula>OR($E23="Needs answer",$E23="Explain why",LEFT($E23,6)="Review")</formula>
    </cfRule>
  </conditionalFormatting>
  <conditionalFormatting sqref="B24:E24">
    <cfRule type="expression" dxfId="75" priority="40">
      <formula>$E24="Not applicable"</formula>
    </cfRule>
  </conditionalFormatting>
  <conditionalFormatting sqref="E24:E24">
    <cfRule type="expression" dxfId="76" priority="41">
      <formula>OR($E24="Needs answer",$E24="Explain why",LEFT($E24,6)="Review")</formula>
    </cfRule>
  </conditionalFormatting>
  <conditionalFormatting sqref="D24:D24">
    <cfRule type="expression" dxfId="77" priority="42">
      <formula>OR($C24="Unable to assess",$C24="unable_to_assess")</formula>
    </cfRule>
  </conditionalFormatting>
  <conditionalFormatting sqref="B25:E25">
    <cfRule type="expression" dxfId="78" priority="43">
      <formula>$E25="Not applicable"</formula>
    </cfRule>
  </conditionalFormatting>
  <conditionalFormatting sqref="E25:E25">
    <cfRule type="expression" dxfId="79" priority="44">
      <formula>OR($E25="Needs answer",$E25="Explain why",LEFT($E25,6)="Review")</formula>
    </cfRule>
  </conditionalFormatting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Health and comfort</v>
      </c>
      <c r="C1" s="4"/>
      <c r="D1" s="5" t="str">
        <v>Section 4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physical_health_concerns</v>
      </c>
      <c r="B6" s="13" t="str">
        <v>Physical health concerns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72" customHeight="1">
      <c r="A7" s="3" t="str">
        <v>physical_health_diagnoses</v>
      </c>
      <c r="B7" s="21" t="inlineStr">
        <is>
          <r>
            <rPr>
              <b/>
              <sz val="12"/>
              <color rgb="FF233B32"/>
            </rPr>
            <t>Physical health diagnoses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7" t="str" s="50"/>
      <c r="D7" t="str" s="48"/>
      <c r="E7" s="16" t="str">
        <f>IF(NOT(AND(OR(LOWER(TRIM('04 Health and comfort'!$C$6&amp;""))="yes",LOWER(TRIM('04 Health and comfort'!$C$6&amp;""))="yes"))),IF(OR(LEN(TRIM(C7))&gt;0,LEN(TRIM(D7))&gt;0),"Review previous answer","Not applicable"),IF(AND(LEN(TRIM(D7))&gt;0,NOT(FALSE)),"Review previous reason",IF(AND(FALSE,NOT(LEN(TRIM(D7))&gt;0)),"Explain why",IF(LEN(TRIM(C7))&gt;0,"Answered",IF(OR(LOWER(TRIM('04 Health and comfort'!$C$6&amp;""))="yes",LOWER(TRIM('04 Health and comfort'!$C$6&amp;""))="yes"),"Needs answer","Optional")))))</f>
        <v>Not applicable</v>
      </c>
    </row>
    <row r="8" ht="72" customHeight="1">
      <c r="A8" s="3" t="str">
        <v>physical_health_measures</v>
      </c>
      <c r="B8" s="21" t="inlineStr">
        <is>
          <r>
            <rPr>
              <b/>
              <sz val="12"/>
              <color rgb="FF233B32"/>
            </rPr>
            <t>Current health measures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8" t="str" s="50"/>
      <c r="D8" t="str" s="48"/>
      <c r="E8" s="16" t="str">
        <f>IF(NOT(AND(OR(LOWER(TRIM('04 Health and comfort'!$C$6&amp;""))="yes",LOWER(TRIM('04 Health and comfort'!$C$6&amp;""))="yes"))),IF(OR(LEN(TRIM(C8))&gt;0,LEN(TRIM(D8))&gt;0),"Review previous answer","Not applicable"),IF(AND(LEN(TRIM(D8))&gt;0,NOT(FALSE)),"Review previous reason",IF(AND(FALSE,NOT(LEN(TRIM(D8))&gt;0)),"Explain why",IF(LEN(TRIM(C8))&gt;0,"Answered",IF(OR(LOWER(TRIM('04 Health and comfort'!$C$6&amp;""))="yes",LOWER(TRIM('04 Health and comfort'!$C$6&amp;""))="yes"),"Needs answer","Optional")))))</f>
        <v>Not applicable</v>
      </c>
    </row>
    <row r="9" ht="34" customHeight="1">
      <c r="A9" s="3" t="str">
        <v>diabetic</v>
      </c>
      <c r="B9" s="13" t="str">
        <v>Diabetic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diabetic_details</v>
      </c>
      <c r="B10" s="21" t="inlineStr">
        <is>
          <r>
            <rPr>
              <b/>
              <sz val="12"/>
              <color rgb="FF233B32"/>
            </rPr>
            <t>Diabetes care details</t>
          </r>
          <r>
            <rPr>
              <b val="0"/>
              <sz val="10"/>
              <color rgb="FF59675F"/>
            </rPr>
            <t xml:space="preserve">
Only if Diabetic is Yes.</t>
          </r>
        </is>
      </c>
      <c r="C10" t="str" s="50"/>
      <c r="D10" t="str" s="48"/>
      <c r="E10" s="16" t="str">
        <f>IF(NOT(AND(OR(LOWER(TRIM('04 Health and comfort'!$C$9&amp;""))="yes",LOWER(TRIM('04 Health and comfort'!$C$9&amp;""))="yes"))),IF(OR(LEN(TRIM(C10))&gt;0,LEN(TRIM(D10))&gt;0),"Review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why",IF(LEN(TRIM(C10))&gt;0,"Answered",IF(OR(LOWER(TRIM('04 Health and comfort'!$C$9&amp;""))="yes",LOWER(TRIM('04 Health and comfort'!$C$9&amp;""))="yes"),"Needs answer","Optional")))))</f>
        <v>Not applicable</v>
      </c>
    </row>
    <row r="11" ht="34" customHeight="1">
      <c r="A11" s="3" t="str">
        <v>special_diet</v>
      </c>
      <c r="B11" s="13" t="str">
        <v>Special diet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special_diet_details</v>
      </c>
      <c r="B12" s="21" t="inlineStr">
        <is>
          <r>
            <rPr>
              <b/>
              <sz val="12"/>
              <color rgb="FF233B32"/>
            </rPr>
            <t>Dietary restrictions</t>
          </r>
          <r>
            <rPr>
              <b val="0"/>
              <sz val="10"/>
              <color rgb="FF59675F"/>
            </rPr>
            <t xml:space="preserve">
Only if Special diet is Yes.</t>
          </r>
        </is>
      </c>
      <c r="C12" t="str" s="50"/>
      <c r="D12" t="str" s="48"/>
      <c r="E12" s="16" t="str">
        <f>IF(NOT(AND(OR(LOWER(TRIM('04 Health and comfort'!$C$11&amp;""))="yes",LOWER(TRIM('04 Health and comfort'!$C$11&amp;""))="yes"))),IF(OR(LEN(TRIM(C12))&gt;0,LEN(TRIM(D12))&gt;0),"Review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why",IF(LEN(TRIM(C12))&gt;0,"Answered",IF(OR(LOWER(TRIM('04 Health and comfort'!$C$11&amp;""))="yes",LOWER(TRIM('04 Health and comfort'!$C$11&amp;""))="yes"),"Needs answer","Optional")))))</f>
        <v>Not applicable</v>
      </c>
    </row>
    <row r="13" ht="34" customHeight="1">
      <c r="A13" s="3" t="str">
        <v>skin_integrity_issue</v>
      </c>
      <c r="B13" s="13" t="str">
        <v>Skin integrity issue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skin_integrity_details</v>
      </c>
      <c r="B14" s="21" t="inlineStr">
        <is>
          <r>
            <rPr>
              <b/>
              <sz val="12"/>
              <color rgb="FF233B32"/>
            </rPr>
            <t>Skin integrity details</t>
          </r>
          <r>
            <rPr>
              <b val="0"/>
              <sz val="10"/>
              <color rgb="FF59675F"/>
            </rPr>
            <t xml:space="preserve">
Only if Skin integrity issue is Yes.</t>
          </r>
        </is>
      </c>
      <c r="C14" t="str" s="50"/>
      <c r="D14" t="str" s="48"/>
      <c r="E14" s="16" t="str">
        <f>IF(NOT(AND(OR(LOWER(TRIM('04 Health and comfort'!$C$13&amp;""))="yes",LOWER(TRIM('04 Health and comfort'!$C$13&amp;""))="yes"))),IF(OR(LEN(TRIM(C14))&gt;0,LEN(TRIM(D14))&gt;0),"Review previous answer","Not applicable"),IF(AND(LEN(TRIM(D14))&gt;0,NOT(FALSE)),"Review previous reason",IF(AND(FALSE,NOT(LEN(TRIM(D14))&gt;0)),"Explain why",IF(LEN(TRIM(C14))&gt;0,"Answered",IF(OR(LOWER(TRIM('04 Health and comfort'!$C$13&amp;""))="yes",LOWER(TRIM('04 Health and comfort'!$C$13&amp;""))="yes"),"Needs answer","Optional")))))</f>
        <v>Not applicable</v>
      </c>
    </row>
    <row r="15" ht="34" customHeight="1">
      <c r="A15" s="3" t="str">
        <v>uses_dentures</v>
      </c>
      <c r="B15" s="13" t="str">
        <v>Dentures</v>
      </c>
      <c r="C15" t="str" s="50"/>
      <c r="D15" t="str" s="48"/>
      <c r="E15" s="16" t="str">
        <f>IF(NOT(TRUE),IF(OR(LEN(TRIM(C15))&gt;0,LEN(TRIM(D15))&gt;0),"Review previous answer","Not applicable"),IF(AND(LEN(TRIM(D15))&gt;0,NOT(OR(LOWER(TRIM(C15))="unable to assess",C15="unable_to_assess"))),"Review previous reason",IF(AND(OR(LOWER(TRIM(C15))="unable to assess",C15="unable_to_assess"),NOT(LEN(TRIM(D15))&gt;0)),"Explain why",IF(LEN(TRIM(C15))&gt;0,"Answered",IF(TRUE,"Needs answer","Optional")))))</f>
        <v>Needs answer</v>
      </c>
    </row>
    <row r="16" ht="34" customHeight="1">
      <c r="A16" s="3" t="str">
        <v>uses_hearing_aids</v>
      </c>
      <c r="B16" s="13" t="str">
        <v>Hearing aids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34" customHeight="1">
      <c r="A17" s="3" t="str">
        <v>uses_glasses</v>
      </c>
      <c r="B17" s="13" t="str">
        <v>Glasses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34" customHeight="1">
      <c r="A18" s="3" t="str">
        <v>uses_oxygen</v>
      </c>
      <c r="B18" s="13" t="str">
        <v>Oxygen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34" customHeight="1">
      <c r="A19" s="3" t="str">
        <v>uses_hospital_bed</v>
      </c>
      <c r="B19" s="13" t="str">
        <v>Hospital bed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uses_cpap</v>
      </c>
      <c r="B20" s="13" t="str">
        <v>CPAP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catheter_care</v>
      </c>
      <c r="B21" s="13" t="str">
        <v>Catheter care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34" customHeight="1">
      <c r="A22" s="3" t="str">
        <v>colostomy</v>
      </c>
      <c r="B22" s="13" t="str">
        <v>Colostomy</v>
      </c>
      <c r="C22" t="str" s="50"/>
      <c r="D22" t="str" s="48"/>
      <c r="E22" s="16" t="str">
        <f>IF(NOT(TRUE),IF(OR(LEN(TRIM(C22))&gt;0,LEN(TRIM(D22))&gt;0),"Review previous answer","Not applicable"),IF(AND(LEN(TRIM(D22))&gt;0,NOT(OR(LOWER(TRIM(C22))="unable to assess",C22="unable_to_assess"))),"Review previous reason",IF(AND(OR(LOWER(TRIM(C22))="unable to assess",C22="unable_to_assess"),NOT(LEN(TRIM(D22))&gt;0)),"Explain why",IF(LEN(TRIM(C22))&gt;0,"Answered",IF(TRUE,"Needs answer","Optional")))))</f>
        <v>Needs answer</v>
      </c>
    </row>
    <row r="23" ht="34" customHeight="1">
      <c r="A23" s="3" t="str">
        <v>ileostomy</v>
      </c>
      <c r="B23" s="13" t="str">
        <v>Ileostomy</v>
      </c>
      <c r="C23" t="str" s="50"/>
      <c r="D23" t="str" s="48"/>
      <c r="E23" s="16" t="str">
        <f>IF(NOT(TRUE),IF(OR(LEN(TRIM(C23))&gt;0,LEN(TRIM(D23))&gt;0),"Review previous answer","Not applicable"),IF(AND(LEN(TRIM(D23))&gt;0,NOT(OR(LOWER(TRIM(C23))="unable to assess",C23="unable_to_assess"))),"Review previous reason",IF(AND(OR(LOWER(TRIM(C23))="unable to assess",C23="unable_to_assess"),NOT(LEN(TRIM(D23))&gt;0)),"Explain why",IF(LEN(TRIM(C23))&gt;0,"Answered",IF(TRUE,"Needs answer","Optional")))))</f>
        <v>Needs answer</v>
      </c>
    </row>
    <row r="24" ht="34" customHeight="1">
      <c r="A24" s="3" t="str">
        <v>incontinence_issues</v>
      </c>
      <c r="B24" s="13" t="str">
        <v>Incontinence issues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39" customHeight="1">
      <c r="A25" s="3" t="str">
        <v>brief_change_support</v>
      </c>
      <c r="B25" s="21" t="inlineStr">
        <is>
          <r>
            <rPr>
              <b/>
              <sz val="12"/>
              <color rgb="FF233B32"/>
            </rPr>
            <t>Support</t>
          </r>
          <r>
            <rPr>
              <b val="0"/>
              <sz val="10"/>
              <color rgb="FF59675F"/>
            </rPr>
            <t xml:space="preserve">
Only if Incontinence issues is Yes.</t>
          </r>
        </is>
      </c>
      <c r="C25" t="str" s="50"/>
      <c r="D25" t="str" s="48"/>
      <c r="E25" s="16" t="str">
        <f>IF(NOT(AND(OR(LOWER(TRIM('04 Health and comfort'!$C$24&amp;""))="yes",LOWER(TRIM('04 Health and comfort'!$C$24&amp;""))="yes"))),IF(OR(LEN(TRIM(C25))&gt;0,LEN(TRIM(D25))&gt;0),"Review previous answer","Not applicable"),IF(AND(LEN(TRIM(D25))&gt;0,NOT(FALSE)),"Review previous reason",IF(AND(FALSE,NOT(LEN(TRIM(D25))&gt;0)),"Explain why",IF(LEN(TRIM(C25))&gt;0,"Answered",IF(OR(LOWER(TRIM('04 Health and comfort'!$C$24&amp;""))="yes",LOWER(TRIM('04 Health and comfort'!$C$24&amp;""))="yes"),"Needs answer","Optional")))))</f>
        <v>Not applicable</v>
      </c>
    </row>
    <row r="26" ht="72" customHeight="1">
      <c r="A26" s="3" t="str">
        <v>additional_health_notes</v>
      </c>
      <c r="B26" s="13" t="str">
        <v>Additional health information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80" priority="1">
      <formula>$E6="Not applicable"</formula>
    </cfRule>
  </conditionalFormatting>
  <conditionalFormatting sqref="E6:E6">
    <cfRule type="expression" dxfId="81" priority="2">
      <formula>OR($E6="Needs answer",$E6="Explain why",LEFT($E6,6)="Review")</formula>
    </cfRule>
  </conditionalFormatting>
  <conditionalFormatting sqref="D6:D6">
    <cfRule type="expression" dxfId="82" priority="3">
      <formula>OR($C6="Unable to assess",$C6="unable_to_assess")</formula>
    </cfRule>
  </conditionalFormatting>
  <conditionalFormatting sqref="B7:E7">
    <cfRule type="expression" dxfId="83" priority="4">
      <formula>$E7="Not applicable"</formula>
    </cfRule>
  </conditionalFormatting>
  <conditionalFormatting sqref="E7:E7">
    <cfRule type="expression" dxfId="84" priority="5">
      <formula>OR($E7="Needs answer",$E7="Explain why",LEFT($E7,6)="Review")</formula>
    </cfRule>
  </conditionalFormatting>
  <conditionalFormatting sqref="B8:E8">
    <cfRule type="expression" dxfId="85" priority="6">
      <formula>$E8="Not applicable"</formula>
    </cfRule>
  </conditionalFormatting>
  <conditionalFormatting sqref="E8:E8">
    <cfRule type="expression" dxfId="86" priority="7">
      <formula>OR($E8="Needs answer",$E8="Explain why",LEFT($E8,6)="Review")</formula>
    </cfRule>
  </conditionalFormatting>
  <conditionalFormatting sqref="B9:E9">
    <cfRule type="expression" dxfId="87" priority="8">
      <formula>$E9="Not applicable"</formula>
    </cfRule>
  </conditionalFormatting>
  <conditionalFormatting sqref="E9:E9">
    <cfRule type="expression" dxfId="88" priority="9">
      <formula>OR($E9="Needs answer",$E9="Explain why",LEFT($E9,6)="Review")</formula>
    </cfRule>
  </conditionalFormatting>
  <conditionalFormatting sqref="D9:D9">
    <cfRule type="expression" dxfId="89" priority="10">
      <formula>OR($C9="Unable to assess",$C9="unable_to_assess")</formula>
    </cfRule>
  </conditionalFormatting>
  <conditionalFormatting sqref="B10:E10">
    <cfRule type="expression" dxfId="90" priority="11">
      <formula>$E10="Not applicable"</formula>
    </cfRule>
  </conditionalFormatting>
  <conditionalFormatting sqref="E10:E10">
    <cfRule type="expression" dxfId="91" priority="12">
      <formula>OR($E10="Needs answer",$E10="Explain why",LEFT($E10,6)="Review")</formula>
    </cfRule>
  </conditionalFormatting>
  <conditionalFormatting sqref="B11:E11">
    <cfRule type="expression" dxfId="92" priority="13">
      <formula>$E11="Not applicable"</formula>
    </cfRule>
  </conditionalFormatting>
  <conditionalFormatting sqref="E11:E11">
    <cfRule type="expression" dxfId="93" priority="14">
      <formula>OR($E11="Needs answer",$E11="Explain why",LEFT($E11,6)="Review")</formula>
    </cfRule>
  </conditionalFormatting>
  <conditionalFormatting sqref="D11:D11">
    <cfRule type="expression" dxfId="94" priority="15">
      <formula>OR($C11="Unable to assess",$C11="unable_to_assess")</formula>
    </cfRule>
  </conditionalFormatting>
  <conditionalFormatting sqref="B12:E12">
    <cfRule type="expression" dxfId="95" priority="16">
      <formula>$E12="Not applicable"</formula>
    </cfRule>
  </conditionalFormatting>
  <conditionalFormatting sqref="E12:E12">
    <cfRule type="expression" dxfId="96" priority="17">
      <formula>OR($E12="Needs answer",$E12="Explain why",LEFT($E12,6)="Review")</formula>
    </cfRule>
  </conditionalFormatting>
  <conditionalFormatting sqref="B13:E13">
    <cfRule type="expression" dxfId="97" priority="18">
      <formula>$E13="Not applicable"</formula>
    </cfRule>
  </conditionalFormatting>
  <conditionalFormatting sqref="E13:E13">
    <cfRule type="expression" dxfId="98" priority="19">
      <formula>OR($E13="Needs answer",$E13="Explain why",LEFT($E13,6)="Review")</formula>
    </cfRule>
  </conditionalFormatting>
  <conditionalFormatting sqref="D13:D13">
    <cfRule type="expression" dxfId="99" priority="20">
      <formula>OR($C13="Unable to assess",$C13="unable_to_assess")</formula>
    </cfRule>
  </conditionalFormatting>
  <conditionalFormatting sqref="B14:E14">
    <cfRule type="expression" dxfId="100" priority="21">
      <formula>$E14="Not applicable"</formula>
    </cfRule>
  </conditionalFormatting>
  <conditionalFormatting sqref="E14:E14">
    <cfRule type="expression" dxfId="101" priority="22">
      <formula>OR($E14="Needs answer",$E14="Explain why",LEFT($E14,6)="Review")</formula>
    </cfRule>
  </conditionalFormatting>
  <conditionalFormatting sqref="B15:E15">
    <cfRule type="expression" dxfId="102" priority="23">
      <formula>$E15="Not applicable"</formula>
    </cfRule>
  </conditionalFormatting>
  <conditionalFormatting sqref="E15:E15">
    <cfRule type="expression" dxfId="103" priority="24">
      <formula>OR($E15="Needs answer",$E15="Explain why",LEFT($E15,6)="Review")</formula>
    </cfRule>
  </conditionalFormatting>
  <conditionalFormatting sqref="D15:D15">
    <cfRule type="expression" dxfId="104" priority="25">
      <formula>OR($C15="Unable to assess",$C15="unable_to_assess")</formula>
    </cfRule>
  </conditionalFormatting>
  <conditionalFormatting sqref="B16:E16">
    <cfRule type="expression" dxfId="105" priority="26">
      <formula>$E16="Not applicable"</formula>
    </cfRule>
  </conditionalFormatting>
  <conditionalFormatting sqref="E16:E16">
    <cfRule type="expression" dxfId="106" priority="27">
      <formula>OR($E16="Needs answer",$E16="Explain why",LEFT($E16,6)="Review")</formula>
    </cfRule>
  </conditionalFormatting>
  <conditionalFormatting sqref="D16:D16">
    <cfRule type="expression" dxfId="107" priority="28">
      <formula>OR($C16="Unable to assess",$C16="unable_to_assess")</formula>
    </cfRule>
  </conditionalFormatting>
  <conditionalFormatting sqref="B17:E17">
    <cfRule type="expression" dxfId="108" priority="29">
      <formula>$E17="Not applicable"</formula>
    </cfRule>
  </conditionalFormatting>
  <conditionalFormatting sqref="E17:E17">
    <cfRule type="expression" dxfId="109" priority="30">
      <formula>OR($E17="Needs answer",$E17="Explain why",LEFT($E17,6)="Review")</formula>
    </cfRule>
  </conditionalFormatting>
  <conditionalFormatting sqref="D17:D17">
    <cfRule type="expression" dxfId="110" priority="31">
      <formula>OR($C17="Unable to assess",$C17="unable_to_assess")</formula>
    </cfRule>
  </conditionalFormatting>
  <conditionalFormatting sqref="B18:E18">
    <cfRule type="expression" dxfId="111" priority="32">
      <formula>$E18="Not applicable"</formula>
    </cfRule>
  </conditionalFormatting>
  <conditionalFormatting sqref="E18:E18">
    <cfRule type="expression" dxfId="112" priority="33">
      <formula>OR($E18="Needs answer",$E18="Explain why",LEFT($E18,6)="Review")</formula>
    </cfRule>
  </conditionalFormatting>
  <conditionalFormatting sqref="D18:D18">
    <cfRule type="expression" dxfId="113" priority="34">
      <formula>OR($C18="Unable to assess",$C18="unable_to_assess")</formula>
    </cfRule>
  </conditionalFormatting>
  <conditionalFormatting sqref="B19:E19">
    <cfRule type="expression" dxfId="114" priority="35">
      <formula>$E19="Not applicable"</formula>
    </cfRule>
  </conditionalFormatting>
  <conditionalFormatting sqref="E19:E19">
    <cfRule type="expression" dxfId="115" priority="36">
      <formula>OR($E19="Needs answer",$E19="Explain why",LEFT($E19,6)="Review")</formula>
    </cfRule>
  </conditionalFormatting>
  <conditionalFormatting sqref="D19:D19">
    <cfRule type="expression" dxfId="116" priority="37">
      <formula>OR($C19="Unable to assess",$C19="unable_to_assess")</formula>
    </cfRule>
  </conditionalFormatting>
  <conditionalFormatting sqref="B20:E20">
    <cfRule type="expression" dxfId="117" priority="38">
      <formula>$E20="Not applicable"</formula>
    </cfRule>
  </conditionalFormatting>
  <conditionalFormatting sqref="E20:E20">
    <cfRule type="expression" dxfId="118" priority="39">
      <formula>OR($E20="Needs answer",$E20="Explain why",LEFT($E20,6)="Review")</formula>
    </cfRule>
  </conditionalFormatting>
  <conditionalFormatting sqref="D20:D20">
    <cfRule type="expression" dxfId="119" priority="40">
      <formula>OR($C20="Unable to assess",$C20="unable_to_assess")</formula>
    </cfRule>
  </conditionalFormatting>
  <conditionalFormatting sqref="B21:E21">
    <cfRule type="expression" dxfId="120" priority="41">
      <formula>$E21="Not applicable"</formula>
    </cfRule>
  </conditionalFormatting>
  <conditionalFormatting sqref="E21:E21">
    <cfRule type="expression" dxfId="121" priority="42">
      <formula>OR($E21="Needs answer",$E21="Explain why",LEFT($E21,6)="Review")</formula>
    </cfRule>
  </conditionalFormatting>
  <conditionalFormatting sqref="D21:D21">
    <cfRule type="expression" dxfId="122" priority="43">
      <formula>OR($C21="Unable to assess",$C21="unable_to_assess")</formula>
    </cfRule>
  </conditionalFormatting>
  <conditionalFormatting sqref="B22:E22">
    <cfRule type="expression" dxfId="123" priority="44">
      <formula>$E22="Not applicable"</formula>
    </cfRule>
  </conditionalFormatting>
  <conditionalFormatting sqref="E22:E22">
    <cfRule type="expression" dxfId="124" priority="45">
      <formula>OR($E22="Needs answer",$E22="Explain why",LEFT($E22,6)="Review")</formula>
    </cfRule>
  </conditionalFormatting>
  <conditionalFormatting sqref="D22:D22">
    <cfRule type="expression" dxfId="125" priority="46">
      <formula>OR($C22="Unable to assess",$C22="unable_to_assess")</formula>
    </cfRule>
  </conditionalFormatting>
  <conditionalFormatting sqref="B23:E23">
    <cfRule type="expression" dxfId="126" priority="47">
      <formula>$E23="Not applicable"</formula>
    </cfRule>
  </conditionalFormatting>
  <conditionalFormatting sqref="E23:E23">
    <cfRule type="expression" dxfId="127" priority="48">
      <formula>OR($E23="Needs answer",$E23="Explain why",LEFT($E23,6)="Review")</formula>
    </cfRule>
  </conditionalFormatting>
  <conditionalFormatting sqref="D23:D23">
    <cfRule type="expression" dxfId="128" priority="49">
      <formula>OR($C23="Unable to assess",$C23="unable_to_assess")</formula>
    </cfRule>
  </conditionalFormatting>
  <conditionalFormatting sqref="B24:E24">
    <cfRule type="expression" dxfId="129" priority="50">
      <formula>$E24="Not applicable"</formula>
    </cfRule>
  </conditionalFormatting>
  <conditionalFormatting sqref="E24:E24">
    <cfRule type="expression" dxfId="130" priority="51">
      <formula>OR($E24="Needs answer",$E24="Explain why",LEFT($E24,6)="Review")</formula>
    </cfRule>
  </conditionalFormatting>
  <conditionalFormatting sqref="D24:D24">
    <cfRule type="expression" dxfId="131" priority="52">
      <formula>OR($C24="Unable to assess",$C24="unable_to_assess")</formula>
    </cfRule>
  </conditionalFormatting>
  <conditionalFormatting sqref="B25:E25">
    <cfRule type="expression" dxfId="132" priority="53">
      <formula>$E25="Not applicable"</formula>
    </cfRule>
  </conditionalFormatting>
  <conditionalFormatting sqref="E25:E25">
    <cfRule type="expression" dxfId="133" priority="54">
      <formula>OR($E25="Needs answer",$E25="Explain why",LEFT($E25,6)="Review")</formula>
    </cfRule>
  </conditionalFormatting>
  <conditionalFormatting sqref="B26:E26">
    <cfRule type="expression" dxfId="134" priority="55">
      <formula>$E26="Not applicable"</formula>
    </cfRule>
  </conditionalFormatting>
  <conditionalFormatting sqref="E26:E26">
    <cfRule type="expression" dxfId="135" priority="56">
      <formula>OR($E26="Needs answer",$E26="Explain why",LEFT($E26,6)="Review")</formula>
    </cfRule>
  </conditionalFormatting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Medication</v>
      </c>
      <c r="C1" s="4"/>
      <c r="D1" s="5" t="str">
        <v>Section 5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medication_adherence</v>
      </c>
      <c r="B6" s="13" t="str">
        <v>Medication compliant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9" customHeight="1">
      <c r="A7" s="3" t="str">
        <v>last_medication_refusal_date</v>
      </c>
      <c r="B7" s="21" t="inlineStr">
        <is>
          <r>
            <rPr>
              <b/>
              <sz val="12"/>
              <color rgb="FF233B32"/>
            </rPr>
            <t>Date of last medication refusal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7" t="str" s="51"/>
      <c r="D7" t="str" s="48"/>
      <c r="E7" s="16" t="str">
        <f>IF(NOT(AND(OR(LOWER(TRIM('05 Medication'!$C$6&amp;""))="no",LOWER(TRIM('05 Medication'!$C$6&amp;""))="no"))),IF(OR(LEN(TRIM(C7))&gt;0,LEN(TRIM(D7))&gt;0),"Review previous answer","Not applicable"),IF(AND(LEN(TRIM(D7))&gt;0,NOT(FALSE)),"Review previous reason",IF(AND(FALSE,NOT(LEN(TRIM(D7))&gt;0)),"Explain why",IF(LEN(TRIM(C7))&gt;0,"Answered",IF(OR(LOWER(TRIM('05 Medication'!$C$6&amp;""))="no",LOWER(TRIM('05 Medication'!$C$6&amp;""))="no"),"Needs answer","Optional")))))</f>
        <v>Not applicable</v>
      </c>
    </row>
    <row r="8" ht="39" customHeight="1">
      <c r="A8" s="3" t="str">
        <v>medication_refused</v>
      </c>
      <c r="B8" s="21" t="inlineStr">
        <is>
          <r>
            <rPr>
              <b/>
              <sz val="12"/>
              <color rgb="FF233B32"/>
            </rPr>
            <t>Medication refused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8" t="str" s="50"/>
      <c r="D8" t="str" s="48"/>
      <c r="E8" s="16" t="str">
        <f>IF(NOT(AND(OR(LOWER(TRIM('05 Medication'!$C$6&amp;""))="no",LOWER(TRIM('05 Medication'!$C$6&amp;""))="no"))),IF(OR(LEN(TRIM(C8))&gt;0,LEN(TRIM(D8))&gt;0),"Review previous answer","Not applicable"),IF(AND(LEN(TRIM(D8))&gt;0,NOT(FALSE)),"Review previous reason",IF(AND(FALSE,NOT(LEN(TRIM(D8))&gt;0)),"Explain why",IF(LEN(TRIM(C8))&gt;0,"Answered",IF(OR(LOWER(TRIM('05 Medication'!$C$6&amp;""))="no",LOWER(TRIM('05 Medication'!$C$6&amp;""))="no"),"Needs answer","Optional")))))</f>
        <v>Not applicable</v>
      </c>
    </row>
    <row r="9" ht="39" customHeight="1">
      <c r="A9" s="3" t="str">
        <v>medication_refusals_30_days</v>
      </c>
      <c r="B9" s="21" t="inlineStr">
        <is>
          <r>
            <rPr>
              <b/>
              <sz val="12"/>
              <color rgb="FF233B32"/>
            </rPr>
            <t>Refusals in the last 30 days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9" t="str" s="58"/>
      <c r="D9" t="str" s="48"/>
      <c r="E9" s="16" t="str">
        <f>IF(NOT(AND(OR(LOWER(TRIM('05 Medication'!$C$6&amp;""))="no",LOWER(TRIM('05 Medication'!$C$6&amp;""))="no"))),IF(OR(LEN(TRIM(C9))&gt;0,LEN(TRIM(D9))&gt;0),"Review previous answer","Not applicable"),IF(AND(LEN(TRIM(D9))&gt;0,NOT(FALSE)),"Review previous reason",IF(AND(FALSE,NOT(LEN(TRIM(D9))&gt;0)),"Explain why",IF(LEN(TRIM(C9))&gt;0,"Answered",IF(OR(LOWER(TRIM('05 Medication'!$C$6&amp;""))="no",LOWER(TRIM('05 Medication'!$C$6&amp;""))="no"),"Needs answer","Optional")))))</f>
        <v>Not applicable</v>
      </c>
    </row>
    <row r="10" ht="72" customHeight="1">
      <c r="A10" s="3" t="str">
        <v>medications_at_intake</v>
      </c>
      <c r="B10" s="21" t="inlineStr">
        <is>
          <r>
            <rPr>
              <b/>
              <sz val="12"/>
              <color rgb="FF233B32"/>
            </rPr>
            <t>Medications at intake</t>
          </r>
          <r>
            <rPr>
              <b val="0"/>
              <sz val="10"/>
              <color rgb="FF59675F"/>
            </rPr>
            <t xml:space="preserve">
Enter one medication per line.</t>
          </r>
        </is>
      </c>
      <c r="C10" t="str" s="50"/>
      <c r="D10" t="str" s="48"/>
      <c r="E10" s="16" t="str">
        <f>IF(NOT(TRUE),IF(OR(LEN(TRIM(C10&amp;""&amp;C11&amp;""&amp;C12&amp;""&amp;C13&amp;""&amp;C14&amp;""&amp;C15&amp;""&amp;C16&amp;""&amp;C17&amp;""&amp;C18&amp;""&amp;C19&amp;""&amp;C20&amp;""&amp;C21&amp;""&amp;C22&amp;""&amp;C23))&gt;0,LEN(TRIM(D10))&gt;0),"Review previous answer","Not applicable"),IF(AND(LEN(TRIM(D10))&gt;0,NOT(FALSE)),"Review previous reason",IF(AND(FALSE,NOT(LEN(TRIM(D10))&gt;0)),"Explain why",IF(LEN(TRIM(C10&amp;""&amp;C11&amp;""&amp;C12&amp;""&amp;C13&amp;""&amp;C14&amp;""&amp;C15&amp;""&amp;C16&amp;""&amp;C17&amp;""&amp;C18&amp;""&amp;C19&amp;""&amp;C20&amp;""&amp;C21&amp;""&amp;C22&amp;""&amp;C23))&gt;0,"Answered",IF(FALSE,"Needs answer","Optional")))))</f>
        <v>Optional</v>
      </c>
    </row>
    <row r="11" ht="88" customHeight="1" hidden="1">
      <c r="A11" s="3" t="str">
        <v>medications_at_intake:1</v>
      </c>
      <c r="B11" s="3" t="str">
        <v>Medications at intake (continued)</v>
      </c>
      <c r="C11" t="str" s="57"/>
      <c r="D11" s="3" t="str"/>
      <c r="E11" s="3"/>
    </row>
    <row r="12" ht="88" customHeight="1" hidden="1">
      <c r="A12" s="3" t="str">
        <v>medications_at_intake:2</v>
      </c>
      <c r="B12" s="3" t="str">
        <v>Medications at intake (continued)</v>
      </c>
      <c r="C12" t="str" s="57"/>
      <c r="D12" s="3" t="str"/>
      <c r="E12" s="3"/>
    </row>
    <row r="13" ht="88" customHeight="1" hidden="1">
      <c r="A13" s="3" t="str">
        <v>medications_at_intake:3</v>
      </c>
      <c r="B13" s="3" t="str">
        <v>Medications at intake (continued)</v>
      </c>
      <c r="C13" t="str" s="57"/>
      <c r="D13" s="3" t="str"/>
      <c r="E13" s="3"/>
    </row>
    <row r="14" ht="88" customHeight="1" hidden="1">
      <c r="A14" s="3" t="str">
        <v>medications_at_intake:4</v>
      </c>
      <c r="B14" s="3" t="str">
        <v>Medications at intake (continued)</v>
      </c>
      <c r="C14" t="str" s="57"/>
      <c r="D14" s="3" t="str"/>
      <c r="E14" s="3"/>
    </row>
    <row r="15" ht="88" customHeight="1" hidden="1">
      <c r="A15" s="3" t="str">
        <v>medications_at_intake:5</v>
      </c>
      <c r="B15" s="3" t="str">
        <v>Medications at intake (continued)</v>
      </c>
      <c r="C15" t="str" s="57"/>
      <c r="D15" s="3" t="str"/>
      <c r="E15" s="3"/>
    </row>
    <row r="16" ht="88" customHeight="1" hidden="1">
      <c r="A16" s="3" t="str">
        <v>medications_at_intake:6</v>
      </c>
      <c r="B16" s="3" t="str">
        <v>Medications at intake (continued)</v>
      </c>
      <c r="C16" t="str" s="57"/>
      <c r="D16" s="3" t="str"/>
      <c r="E16" s="3"/>
    </row>
    <row r="17" ht="88" customHeight="1" hidden="1">
      <c r="A17" s="3" t="str">
        <v>medications_at_intake:7</v>
      </c>
      <c r="B17" s="3" t="str">
        <v>Medications at intake (continued)</v>
      </c>
      <c r="C17" t="str" s="57"/>
      <c r="D17" s="3" t="str"/>
      <c r="E17" s="3"/>
    </row>
    <row r="18" ht="88" customHeight="1" hidden="1">
      <c r="A18" s="3" t="str">
        <v>medications_at_intake:8</v>
      </c>
      <c r="B18" s="3" t="str">
        <v>Medications at intake (continued)</v>
      </c>
      <c r="C18" t="str" s="57"/>
      <c r="D18" s="3" t="str"/>
      <c r="E18" s="3"/>
    </row>
    <row r="19" ht="88" customHeight="1" hidden="1">
      <c r="A19" s="3" t="str">
        <v>medications_at_intake:9</v>
      </c>
      <c r="B19" s="3" t="str">
        <v>Medications at intake (continued)</v>
      </c>
      <c r="C19" t="str" s="57"/>
      <c r="D19" s="3" t="str"/>
      <c r="E19" s="3"/>
    </row>
    <row r="20" ht="88" customHeight="1" hidden="1">
      <c r="A20" s="3" t="str">
        <v>medications_at_intake:10</v>
      </c>
      <c r="B20" s="3" t="str">
        <v>Medications at intake (continued)</v>
      </c>
      <c r="C20" t="str" s="57"/>
      <c r="D20" s="3" t="str"/>
      <c r="E20" s="3"/>
    </row>
    <row r="21" ht="88" customHeight="1" hidden="1">
      <c r="A21" s="3" t="str">
        <v>medications_at_intake:11</v>
      </c>
      <c r="B21" s="3" t="str">
        <v>Medications at intake (continued)</v>
      </c>
      <c r="C21" t="str" s="57"/>
      <c r="D21" s="3" t="str"/>
      <c r="E21" s="3"/>
    </row>
    <row r="22" ht="88" customHeight="1" hidden="1">
      <c r="A22" s="3" t="str">
        <v>medications_at_intake:12</v>
      </c>
      <c r="B22" s="3" t="str">
        <v>Medications at intake (continued)</v>
      </c>
      <c r="C22" t="str" s="57"/>
      <c r="D22" s="3" t="str"/>
      <c r="E22" s="3"/>
    </row>
    <row r="23" ht="88" customHeight="1" hidden="1">
      <c r="A23" s="3" t="str">
        <v>medications_at_intake:13</v>
      </c>
      <c r="B23" s="3" t="str">
        <v>Medications at intake (continued)</v>
      </c>
      <c r="C23" t="str" s="57"/>
      <c r="D23" s="3" t="str"/>
      <c r="E23" s="3"/>
    </row>
    <row r="24" ht="72" customHeight="1">
      <c r="A24" s="3" t="str">
        <v>prn_patterns</v>
      </c>
      <c r="B24" s="13" t="str">
        <v>PRN patterns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im_injections</v>
      </c>
      <c r="B25" s="13" t="str">
        <v>IM injections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72" customHeight="1">
      <c r="A26" s="3" t="str">
        <v>im_injections_details</v>
      </c>
      <c r="B26" s="21" t="inlineStr">
        <is>
          <r>
            <rPr>
              <b/>
              <sz val="12"/>
              <color rgb="FF233B32"/>
            </rPr>
            <t>Injection details</t>
          </r>
          <r>
            <rPr>
              <b val="0"/>
              <sz val="10"/>
              <color rgb="FF59675F"/>
            </rPr>
            <t xml:space="preserve">
Only if IM injections is Yes.</t>
          </r>
        </is>
      </c>
      <c r="C26" t="str" s="50"/>
      <c r="D26" t="str" s="48"/>
      <c r="E26" s="16" t="str">
        <f>IF(NOT(AND(OR(LOWER(TRIM('05 Medication'!$C$25&amp;""))="yes",LOWER(TRIM('05 Medication'!$C$25&amp;""))="yes"))),IF(OR(LEN(TRIM(C26))&gt;0,LEN(TRIM(D26))&gt;0),"Review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injection_frequency</v>
      </c>
      <c r="B27" s="21" t="inlineStr">
        <is>
          <r>
            <rPr>
              <b/>
              <sz val="12"/>
              <color rgb="FF233B32"/>
            </rPr>
            <t>Injection frequency</t>
          </r>
          <r>
            <rPr>
              <b val="0"/>
              <sz val="10"/>
              <color rgb="FF59675F"/>
            </rPr>
            <t xml:space="preserve">
Only if IM injections is Yes.
Optional. For multiple medications, use one named medication per line.</t>
          </r>
        </is>
      </c>
      <c r="C27" t="str" s="50"/>
      <c r="D27" t="str" s="48"/>
      <c r="E27" s="16" t="str">
        <f>IF(NOT(AND(OR(LOWER(TRIM('05 Medication'!$C$25&amp;""))="yes",LOWER(TRIM('05 Medication'!$C$25&amp;""))="yes"))),IF(OR(LEN(TRIM(C27))&gt;0,LEN(TRIM(D27))&gt;0),"Review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last_injection</v>
      </c>
      <c r="B28" s="21" t="inlineStr">
        <is>
          <r>
            <rPr>
              <b/>
              <sz val="12"/>
              <color rgb="FF233B32"/>
            </rPr>
            <t>Last injection</t>
          </r>
          <r>
            <rPr>
              <b val="0"/>
              <sz val="10"/>
              <color rgb="FF59675F"/>
            </rPr>
            <t xml:space="preserve">
Only if IM injections is Yes.
Optional. Use one named medication per line.</t>
          </r>
        </is>
      </c>
      <c r="C28" t="str" s="50"/>
      <c r="D28" t="str" s="48"/>
      <c r="E28" s="16" t="str">
        <f>IF(NOT(AND(OR(LOWER(TRIM('05 Medication'!$C$25&amp;""))="yes",LOWER(TRIM('05 Medication'!$C$25&amp;""))="yes"))),IF(OR(LEN(TRIM(C28))&gt;0,LEN(TRIM(D28))&gt;0),"Review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72" customHeight="1">
      <c r="A29" s="3" t="str">
        <v>next_injection_due</v>
      </c>
      <c r="B29" s="21" t="inlineStr">
        <is>
          <r>
            <rPr>
              <b/>
              <sz val="12"/>
              <color rgb="FF233B32"/>
            </rPr>
            <t>Next injection due</t>
          </r>
          <r>
            <rPr>
              <b val="0"/>
              <sz val="10"/>
              <color rgb="FF59675F"/>
            </rPr>
            <t xml:space="preserve">
Only if IM injections is Yes.
Optional. Record the known due date for each medication; no date is calculated.</t>
          </r>
        </is>
      </c>
      <c r="C29" t="str" s="50"/>
      <c r="D29" t="str" s="48"/>
      <c r="E29" s="16" t="str">
        <f>IF(NOT(AND(OR(LOWER(TRIM('05 Medication'!$C$25&amp;""))="yes",LOWER(TRIM('05 Medication'!$C$25&amp;""))="yes"))),IF(OR(LEN(TRIM(C29))&gt;0,LEN(TRIM(D29))&gt;0),"Review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Not applicable</v>
      </c>
    </row>
    <row r="30" ht="34" customHeight="1">
      <c r="A30" s="3" t="str">
        <v>lai_vs_oral</v>
      </c>
      <c r="B30" s="13" t="str">
        <v>LAI vs oral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36" priority="1">
      <formula>$E6="Not applicable"</formula>
    </cfRule>
  </conditionalFormatting>
  <conditionalFormatting sqref="E6:E6">
    <cfRule type="expression" dxfId="137" priority="2">
      <formula>OR($E6="Needs answer",$E6="Explain why",LEFT($E6,6)="Review")</formula>
    </cfRule>
  </conditionalFormatting>
  <conditionalFormatting sqref="D6:D6">
    <cfRule type="expression" dxfId="138" priority="3">
      <formula>OR($C6="Unable to assess",$C6="unable_to_assess")</formula>
    </cfRule>
  </conditionalFormatting>
  <conditionalFormatting sqref="B7:E7">
    <cfRule type="expression" dxfId="139" priority="4">
      <formula>$E7="Not applicable"</formula>
    </cfRule>
  </conditionalFormatting>
  <conditionalFormatting sqref="E7:E7">
    <cfRule type="expression" dxfId="140" priority="5">
      <formula>OR($E7="Needs answer",$E7="Explain why",LEFT($E7,6)="Review")</formula>
    </cfRule>
  </conditionalFormatting>
  <conditionalFormatting sqref="B8:E8">
    <cfRule type="expression" dxfId="141" priority="6">
      <formula>$E8="Not applicable"</formula>
    </cfRule>
  </conditionalFormatting>
  <conditionalFormatting sqref="E8:E8">
    <cfRule type="expression" dxfId="142" priority="7">
      <formula>OR($E8="Needs answer",$E8="Explain why",LEFT($E8,6)="Review")</formula>
    </cfRule>
  </conditionalFormatting>
  <conditionalFormatting sqref="B9:E9">
    <cfRule type="expression" dxfId="143" priority="8">
      <formula>$E9="Not applicable"</formula>
    </cfRule>
  </conditionalFormatting>
  <conditionalFormatting sqref="E9:E9">
    <cfRule type="expression" dxfId="144" priority="9">
      <formula>OR($E9="Needs answer",$E9="Explain why",LEFT($E9,6)="Review")</formula>
    </cfRule>
  </conditionalFormatting>
  <conditionalFormatting sqref="B10:E10">
    <cfRule type="expression" dxfId="145" priority="10">
      <formula>$E10="Not applicable"</formula>
    </cfRule>
  </conditionalFormatting>
  <conditionalFormatting sqref="E10:E10">
    <cfRule type="expression" dxfId="146" priority="11">
      <formula>OR($E10="Needs answer",$E10="Explain why",LEFT($E10,6)="Review")</formula>
    </cfRule>
  </conditionalFormatting>
  <conditionalFormatting sqref="B24:E24">
    <cfRule type="expression" dxfId="147" priority="12">
      <formula>$E24="Not applicable"</formula>
    </cfRule>
  </conditionalFormatting>
  <conditionalFormatting sqref="E24:E24">
    <cfRule type="expression" dxfId="148" priority="13">
      <formula>OR($E24="Needs answer",$E24="Explain why",LEFT($E24,6)="Review")</formula>
    </cfRule>
  </conditionalFormatting>
  <conditionalFormatting sqref="B25:E25">
    <cfRule type="expression" dxfId="149" priority="14">
      <formula>$E25="Not applicable"</formula>
    </cfRule>
  </conditionalFormatting>
  <conditionalFormatting sqref="E25:E25">
    <cfRule type="expression" dxfId="150" priority="15">
      <formula>OR($E25="Needs answer",$E25="Explain why",LEFT($E25,6)="Review")</formula>
    </cfRule>
  </conditionalFormatting>
  <conditionalFormatting sqref="D25:D25">
    <cfRule type="expression" dxfId="151" priority="16">
      <formula>OR($C25="Unable to assess",$C25="unable_to_assess")</formula>
    </cfRule>
  </conditionalFormatting>
  <conditionalFormatting sqref="B26:E26">
    <cfRule type="expression" dxfId="152" priority="17">
      <formula>$E26="Not applicable"</formula>
    </cfRule>
  </conditionalFormatting>
  <conditionalFormatting sqref="E26:E26">
    <cfRule type="expression" dxfId="153" priority="18">
      <formula>OR($E26="Needs answer",$E26="Explain why",LEFT($E26,6)="Review")</formula>
    </cfRule>
  </conditionalFormatting>
  <conditionalFormatting sqref="B27:E27">
    <cfRule type="expression" dxfId="154" priority="19">
      <formula>$E27="Not applicable"</formula>
    </cfRule>
  </conditionalFormatting>
  <conditionalFormatting sqref="E27:E27">
    <cfRule type="expression" dxfId="155" priority="20">
      <formula>OR($E27="Needs answer",$E27="Explain why",LEFT($E27,6)="Review")</formula>
    </cfRule>
  </conditionalFormatting>
  <conditionalFormatting sqref="B28:E28">
    <cfRule type="expression" dxfId="156" priority="21">
      <formula>$E28="Not applicable"</formula>
    </cfRule>
  </conditionalFormatting>
  <conditionalFormatting sqref="E28:E28">
    <cfRule type="expression" dxfId="157" priority="22">
      <formula>OR($E28="Needs answer",$E28="Explain why",LEFT($E28,6)="Review")</formula>
    </cfRule>
  </conditionalFormatting>
  <conditionalFormatting sqref="B29:E29">
    <cfRule type="expression" dxfId="158" priority="23">
      <formula>$E29="Not applicable"</formula>
    </cfRule>
  </conditionalFormatting>
  <conditionalFormatting sqref="E29:E29">
    <cfRule type="expression" dxfId="159" priority="24">
      <formula>OR($E29="Needs answer",$E29="Explain why",LEFT($E29,6)="Review")</formula>
    </cfRule>
  </conditionalFormatting>
  <conditionalFormatting sqref="B30:E30">
    <cfRule type="expression" dxfId="160" priority="25">
      <formula>$E30="Not applicable"</formula>
    </cfRule>
  </conditionalFormatting>
  <conditionalFormatting sqref="E30:E30">
    <cfRule type="expression" dxfId="161" priority="26">
      <formula>OR($E30="Needs answer",$E30="Explain why",LEFT($E30,6)="Review")</formula>
    </cfRule>
  </conditionalFormatting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Living situation</v>
      </c>
      <c r="C1" s="4"/>
      <c r="D1" s="5" t="str">
        <v>Section 6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county</v>
      </c>
      <c r="B6" s="13" t="str">
        <v>County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prior_setting_bucket</v>
      </c>
      <c r="B7" s="13" t="str">
        <v>Prior setting type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referring_facility</v>
      </c>
      <c r="B8" s="13" t="str">
        <v>Prior placement name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admit_date</v>
      </c>
      <c r="B9" s="13" t="str">
        <v>Admit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62" priority="1">
      <formula>$E6="Not applicable"</formula>
    </cfRule>
  </conditionalFormatting>
  <conditionalFormatting sqref="E6:E6">
    <cfRule type="expression" dxfId="163" priority="2">
      <formula>OR($E6="Needs answer",$E6="Explain why",LEFT($E6,6)="Review")</formula>
    </cfRule>
  </conditionalFormatting>
  <conditionalFormatting sqref="B7:E7">
    <cfRule type="expression" dxfId="164" priority="3">
      <formula>$E7="Not applicable"</formula>
    </cfRule>
  </conditionalFormatting>
  <conditionalFormatting sqref="E7:E7">
    <cfRule type="expression" dxfId="165" priority="4">
      <formula>OR($E7="Needs answer",$E7="Explain why",LEFT($E7,6)="Review")</formula>
    </cfRule>
  </conditionalFormatting>
  <conditionalFormatting sqref="B8:E8">
    <cfRule type="expression" dxfId="166" priority="5">
      <formula>$E8="Not applicable"</formula>
    </cfRule>
  </conditionalFormatting>
  <conditionalFormatting sqref="E8:E8">
    <cfRule type="expression" dxfId="167" priority="6">
      <formula>OR($E8="Needs answer",$E8="Explain why",LEFT($E8,6)="Review")</formula>
    </cfRule>
  </conditionalFormatting>
  <conditionalFormatting sqref="B9:E9">
    <cfRule type="expression" dxfId="168" priority="7">
      <formula>$E9="Not applicable"</formula>
    </cfRule>
  </conditionalFormatting>
  <conditionalFormatting sqref="E9:E9">
    <cfRule type="expression" dxfId="169" priority="8">
      <formula>OR($E9="Needs answer",$E9="Explain why",LEFT($E9,6)="Review")</formula>
    </cfRule>
  </conditionalFormatting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Recent care and history</v>
      </c>
      <c r="C1" s="4"/>
      <c r="D1" s="5" t="str">
        <v>Section 7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prior_placements</v>
      </c>
      <c r="B6" s="13" t="str">
        <v>Prior placements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prior_awol_failed_placements</v>
      </c>
      <c r="B7" s="13" t="str">
        <v>Prior AWOL / failed placements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prior_hospitalizations_count</v>
      </c>
      <c r="B8" s="13" t="str">
        <v>Prior hospitalizations</v>
      </c>
      <c r="C8" t="str" s="58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most_recent_hospitalization</v>
      </c>
      <c r="B9" s="13" t="str">
        <v>Most recent hospitalization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prior_5150_5250_holds</v>
      </c>
      <c r="B10" s="13" t="str">
        <v>Prior 5150 / 5250 holds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crisis_er_utilization</v>
      </c>
      <c r="B11" s="13" t="str">
        <v>Crisis / ER utilization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70" priority="1">
      <formula>$E6="Not applicable"</formula>
    </cfRule>
  </conditionalFormatting>
  <conditionalFormatting sqref="E6:E6">
    <cfRule type="expression" dxfId="171" priority="2">
      <formula>OR($E6="Needs answer",$E6="Explain why",LEFT($E6,6)="Review")</formula>
    </cfRule>
  </conditionalFormatting>
  <conditionalFormatting sqref="B7:E7">
    <cfRule type="expression" dxfId="172" priority="3">
      <formula>$E7="Not applicable"</formula>
    </cfRule>
  </conditionalFormatting>
  <conditionalFormatting sqref="E7:E7">
    <cfRule type="expression" dxfId="173" priority="4">
      <formula>OR($E7="Needs answer",$E7="Explain why",LEFT($E7,6)="Review")</formula>
    </cfRule>
  </conditionalFormatting>
  <conditionalFormatting sqref="B8:E8">
    <cfRule type="expression" dxfId="174" priority="5">
      <formula>$E8="Not applicable"</formula>
    </cfRule>
  </conditionalFormatting>
  <conditionalFormatting sqref="E8:E8">
    <cfRule type="expression" dxfId="175" priority="6">
      <formula>OR($E8="Needs answer",$E8="Explain why",LEFT($E8,6)="Review")</formula>
    </cfRule>
  </conditionalFormatting>
  <conditionalFormatting sqref="B9:E9">
    <cfRule type="expression" dxfId="176" priority="7">
      <formula>$E9="Not applicable"</formula>
    </cfRule>
  </conditionalFormatting>
  <conditionalFormatting sqref="E9:E9">
    <cfRule type="expression" dxfId="177" priority="8">
      <formula>OR($E9="Needs answer",$E9="Explain why",LEFT($E9,6)="Review")</formula>
    </cfRule>
  </conditionalFormatting>
  <conditionalFormatting sqref="B10:E10">
    <cfRule type="expression" dxfId="178" priority="9">
      <formula>$E10="Not applicable"</formula>
    </cfRule>
  </conditionalFormatting>
  <conditionalFormatting sqref="E10:E10">
    <cfRule type="expression" dxfId="179" priority="10">
      <formula>OR($E10="Needs answer",$E10="Explain why",LEFT($E10,6)="Review")</formula>
    </cfRule>
  </conditionalFormatting>
  <conditionalFormatting sqref="B11:E11">
    <cfRule type="expression" dxfId="180" priority="11">
      <formula>$E11="Not applicable"</formula>
    </cfRule>
  </conditionalFormatting>
  <conditionalFormatting sqref="E11:E11">
    <cfRule type="expression" dxfId="181" priority="12">
      <formula>OR($E11="Needs answer",$E11="Explain why",LEFT($E11,6)="Review")</formula>
    </cfRule>
  </conditionalFormatting>
  <dataValidations count="1">
    <dataValidation type="whole" operator="between" sqref="C8">
      <formula1>0</formula1>
      <formula2>10000</formula2>
    </dataValidation>
  </dataValidations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Substance use and recovery</v>
      </c>
      <c r="C1" s="4"/>
      <c r="D1" s="5" t="str">
        <v>Section 8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substance_abuse_history</v>
      </c>
      <c r="B6" s="13" t="str">
        <v>History of substance abuse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4" customHeight="1">
      <c r="A7" s="3" t="str">
        <v>active_substance_use</v>
      </c>
      <c r="B7" s="13" t="str">
        <v>Active substance use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5" customHeight="1">
      <c r="A8" s="3" t="str">
        <v>substances</v>
      </c>
      <c r="B8" s="21" t="inlineStr">
        <is>
          <r>
            <rPr>
              <b/>
              <sz val="12"/>
              <color rgb="FF233B32"/>
            </rPr>
            <t>Substances</t>
          </r>
          <r>
            <rPr>
              <b val="0"/>
              <sz val="10"/>
              <color rgb="FF59675F"/>
            </rPr>
            <t xml:space="preserve">
Only if History of substance abuse is Yes.
One per line: Opioids; Amphetamines; Marijuana; Alcohol; Other.</t>
          </r>
        </is>
      </c>
      <c r="C8" t="str" s="50"/>
      <c r="D8" t="str" s="48"/>
      <c r="E8" s="16" t="str">
        <f>IF(NOT(AND(OR(LOWER(TRIM('08 Substance use and recovery'!$C$6&amp;""))="yes",LOWER(TRIM('08 Substance use and recovery'!$C$6&amp;""))="yes"))),IF(OR(LEN(TRIM(C8&amp;""&amp;C9&amp;""&amp;C10&amp;""&amp;C11&amp;""&amp;C12&amp;""&amp;C13&amp;""&amp;C14&amp;""&amp;C15&amp;""&amp;C16&amp;""&amp;C17&amp;""&amp;C18&amp;""&amp;C19&amp;""&amp;C20&amp;""&amp;C21))&gt;0,LEN(TRIM(D8))&gt;0),"Review previous answer","Not applicable"),IF(AND(LEN(TRIM(D8))&gt;0,NOT(FALSE)),"Review previous reason",IF(AND(FALSE,NOT(LEN(TRIM(D8))&gt;0)),"Explain why",IF(LEN(TRIM(C8&amp;""&amp;C9&amp;""&amp;C10&amp;""&amp;C11&amp;""&amp;C12&amp;""&amp;C13&amp;""&amp;C14&amp;""&amp;C15&amp;""&amp;C16&amp;""&amp;C17&amp;""&amp;C18&amp;""&amp;C19&amp;""&amp;C20&amp;""&amp;C21))&gt;0,"Answered",IF(OR(LOWER(TRIM('08 Substance use and recovery'!$C$6&amp;""))="yes",LOWER(TRIM('08 Substance use and recovery'!$C$6&amp;""))="yes"),"Needs answer","Optional")))))</f>
        <v>Not applicable</v>
      </c>
    </row>
    <row r="9" ht="88" customHeight="1" hidden="1">
      <c r="A9" s="3" t="str">
        <v>substances:1</v>
      </c>
      <c r="B9" s="3" t="str">
        <v>Substances (continued)</v>
      </c>
      <c r="C9" t="str" s="57"/>
      <c r="D9" s="3" t="str"/>
      <c r="E9" s="3"/>
    </row>
    <row r="10" ht="88" customHeight="1" hidden="1">
      <c r="A10" s="3" t="str">
        <v>substances:2</v>
      </c>
      <c r="B10" s="3" t="str">
        <v>Substances (continued)</v>
      </c>
      <c r="C10" t="str" s="57"/>
      <c r="D10" s="3" t="str"/>
      <c r="E10" s="3"/>
    </row>
    <row r="11" ht="88" customHeight="1" hidden="1">
      <c r="A11" s="3" t="str">
        <v>substances:3</v>
      </c>
      <c r="B11" s="3" t="str">
        <v>Substances (continued)</v>
      </c>
      <c r="C11" t="str" s="57"/>
      <c r="D11" s="3" t="str"/>
      <c r="E11" s="3"/>
    </row>
    <row r="12" ht="88" customHeight="1" hidden="1">
      <c r="A12" s="3" t="str">
        <v>substances:4</v>
      </c>
      <c r="B12" s="3" t="str">
        <v>Substances (continued)</v>
      </c>
      <c r="C12" t="str" s="57"/>
      <c r="D12" s="3" t="str"/>
      <c r="E12" s="3"/>
    </row>
    <row r="13" ht="88" customHeight="1" hidden="1">
      <c r="A13" s="3" t="str">
        <v>substances:5</v>
      </c>
      <c r="B13" s="3" t="str">
        <v>Substances (continued)</v>
      </c>
      <c r="C13" t="str" s="57"/>
      <c r="D13" s="3" t="str"/>
      <c r="E13" s="3"/>
    </row>
    <row r="14" ht="88" customHeight="1" hidden="1">
      <c r="A14" s="3" t="str">
        <v>substances:6</v>
      </c>
      <c r="B14" s="3" t="str">
        <v>Substances (continued)</v>
      </c>
      <c r="C14" t="str" s="57"/>
      <c r="D14" s="3" t="str"/>
      <c r="E14" s="3"/>
    </row>
    <row r="15" ht="88" customHeight="1" hidden="1">
      <c r="A15" s="3" t="str">
        <v>substances:7</v>
      </c>
      <c r="B15" s="3" t="str">
        <v>Substances (continued)</v>
      </c>
      <c r="C15" t="str" s="57"/>
      <c r="D15" s="3" t="str"/>
      <c r="E15" s="3"/>
    </row>
    <row r="16" ht="88" customHeight="1" hidden="1">
      <c r="A16" s="3" t="str">
        <v>substances:8</v>
      </c>
      <c r="B16" s="3" t="str">
        <v>Substances (continued)</v>
      </c>
      <c r="C16" t="str" s="57"/>
      <c r="D16" s="3" t="str"/>
      <c r="E16" s="3"/>
    </row>
    <row r="17" ht="88" customHeight="1" hidden="1">
      <c r="A17" s="3" t="str">
        <v>substances:9</v>
      </c>
      <c r="B17" s="3" t="str">
        <v>Substances (continued)</v>
      </c>
      <c r="C17" t="str" s="57"/>
      <c r="D17" s="3" t="str"/>
      <c r="E17" s="3"/>
    </row>
    <row r="18" ht="88" customHeight="1" hidden="1">
      <c r="A18" s="3" t="str">
        <v>substances:10</v>
      </c>
      <c r="B18" s="3" t="str">
        <v>Substances (continued)</v>
      </c>
      <c r="C18" t="str" s="57"/>
      <c r="D18" s="3" t="str"/>
      <c r="E18" s="3"/>
    </row>
    <row r="19" ht="88" customHeight="1" hidden="1">
      <c r="A19" s="3" t="str">
        <v>substances:11</v>
      </c>
      <c r="B19" s="3" t="str">
        <v>Substances (continued)</v>
      </c>
      <c r="C19" t="str" s="57"/>
      <c r="D19" s="3" t="str"/>
      <c r="E19" s="3"/>
    </row>
    <row r="20" ht="88" customHeight="1" hidden="1">
      <c r="A20" s="3" t="str">
        <v>substances:12</v>
      </c>
      <c r="B20" s="3" t="str">
        <v>Substances (continued)</v>
      </c>
      <c r="C20" t="str" s="57"/>
      <c r="D20" s="3" t="str"/>
      <c r="E20" s="3"/>
    </row>
    <row r="21" ht="88" customHeight="1" hidden="1">
      <c r="A21" s="3" t="str">
        <v>substances:13</v>
      </c>
      <c r="B21" s="3" t="str">
        <v>Substances (continued)</v>
      </c>
      <c r="C21" t="str" s="57"/>
      <c r="D21" s="3" t="str"/>
      <c r="E21" s="3"/>
    </row>
    <row r="22" ht="51" customHeight="1">
      <c r="A22" s="3" t="str">
        <v>last_substance_use_date</v>
      </c>
      <c r="B22" s="21" t="inlineStr">
        <is>
          <r>
            <rPr>
              <b/>
              <sz val="12"/>
              <color rgb="FF233B32"/>
            </rPr>
            <t>Last substance use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2" t="str" s="51"/>
      <c r="D22" t="str" s="48"/>
      <c r="E22" s="16" t="str">
        <f>IF(NOT(AND(OR(LOWER(TRIM('08 Substance use and recovery'!$C$6&amp;""))="yes",LOWER(TRIM('08 Substance use and recovery'!$C$6&amp;""))="yes"))),IF(OR(LEN(TRIM(C22))&gt;0,LEN(TRIM(D22))&gt;0),"Review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Not applicable</v>
      </c>
    </row>
    <row r="23" ht="51" customHeight="1">
      <c r="A23" s="3" t="str">
        <v>use_pattern</v>
      </c>
      <c r="B23" s="21" t="inlineStr">
        <is>
          <r>
            <rPr>
              <b/>
              <sz val="12"/>
              <color rgb="FF233B32"/>
            </rPr>
            <t>Use pattern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3" t="str" s="50"/>
      <c r="D23" t="str" s="48"/>
      <c r="E23" s="16" t="str">
        <f>IF(NOT(AND(OR(LOWER(TRIM('08 Substance use and recovery'!$C$6&amp;""))="yes",LOWER(TRIM('08 Substance use and recovery'!$C$6&amp;""))="yes"))),IF(OR(LEN(TRIM(C23))&gt;0,LEN(TRIM(D23))&gt;0),"Review previous answer","Not applicable"),IF(AND(LEN(TRIM(D23))&gt;0,NOT(FALSE)),"Review previous reason",IF(AND(FALSE,NOT(LEN(TRIM(D23))&gt;0)),"Explain why",IF(LEN(TRIM(C23))&gt;0,"Answered",IF(OR(LOWER(TRIM('08 Substance use and recovery'!$C$6&amp;""))="yes",LOWER(TRIM('08 Substance use and recovery'!$C$6&amp;""))="yes"),"Needs answer","Optional")))))</f>
        <v>Not applicable</v>
      </c>
    </row>
    <row r="24" ht="72" customHeight="1">
      <c r="A24" s="3" t="str">
        <v>substance_effect_on_baseline</v>
      </c>
      <c r="B24" s="21" t="inlineStr">
        <is>
          <r>
            <rPr>
              <b/>
              <sz val="12"/>
              <color rgb="FF233B32"/>
            </rPr>
            <t>Effect on baseline behavior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4" t="str" s="50"/>
      <c r="D24" t="str" s="48"/>
      <c r="E24" s="16" t="str">
        <f>IF(NOT(AND(OR(LOWER(TRIM('08 Substance use and recovery'!$C$6&amp;""))="yes",LOWER(TRIM('08 Substance use and recovery'!$C$6&amp;""))="yes"))),IF(OR(LEN(TRIM(C24))&gt;0,LEN(TRIM(D24))&gt;0),"Review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Not applicable</v>
      </c>
    </row>
    <row r="25" ht="66" customHeight="1">
      <c r="A25" s="3" t="str">
        <v>longest_sobriety_period</v>
      </c>
      <c r="B25" s="21" t="inlineStr">
        <is>
          <r>
            <rPr>
              <b/>
              <sz val="12"/>
              <color rgb="FF233B32"/>
            </rPr>
            <t>Longest sobriety in the last five years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5" t="str" s="50"/>
      <c r="D25" t="str" s="48"/>
      <c r="E25" s="16" t="str">
        <f>IF(NOT(AND(OR(LOWER(TRIM('08 Substance use and recovery'!$C$6&amp;""))="yes",LOWER(TRIM('08 Substance use and recovery'!$C$6&amp;""))="yes"))),IF(OR(LEN(TRIM(C25))&gt;0,LEN(TRIM(D25))&gt;0),"Review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Not applicable</v>
      </c>
    </row>
    <row r="26" ht="90" customHeight="1">
      <c r="A26" s="3" t="str">
        <v>substance_use_insight</v>
      </c>
      <c r="B26" s="21" t="inlineStr">
        <is>
          <r>
            <rPr>
              <b/>
              <sz val="12"/>
              <color rgb="FF233B32"/>
            </rPr>
            <t>Acknowledgment of substance-use impact</t>
          </r>
          <r>
            <rPr>
              <b val="0"/>
              <sz val="10"/>
              <color rgb="FF59675F"/>
            </rPr>
            <t xml:space="preserve">
Only if History of substance abuse is Yes.
Does the client acknowledge how substance use affects their life?</t>
          </r>
        </is>
      </c>
      <c r="C26" t="str" s="50"/>
      <c r="D26" t="str" s="48"/>
      <c r="E26" s="16" t="str">
        <f>IF(NOT(AND(OR(LOWER(TRIM('08 Substance use and recovery'!$C$6&amp;""))="yes",LOWER(TRIM('08 Substance use and recovery'!$C$6&amp;""))="yes"))),IF(OR(LEN(TRIM(C26))&gt;0,LEN(TRIM(D26))&gt;0),"Review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substance_use_insight_details</v>
      </c>
      <c r="B27" s="21" t="inlineStr">
        <is>
          <r>
            <rPr>
              <b/>
              <sz val="12"/>
              <color rgb="FF233B32"/>
            </rPr>
            <t>Substance-use impact notes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7" t="str" s="50"/>
      <c r="D27" t="str" s="48"/>
      <c r="E27" s="16" t="str">
        <f>IF(NOT(AND(OR(LOWER(TRIM('08 Substance use and recovery'!$C$6&amp;""))="yes",LOWER(TRIM('08 Substance use and recovery'!$C$6&amp;""))="yes"))),IF(OR(LEN(TRIM(C27))&gt;0,LEN(TRIM(D27))&gt;0),"Review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treatment_history</v>
      </c>
      <c r="B28" s="21" t="inlineStr">
        <is>
          <r>
            <rPr>
              <b/>
              <sz val="12"/>
              <color rgb="FF233B32"/>
            </rPr>
            <t>Treatment history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8" t="str" s="50"/>
      <c r="D28" t="str" s="48"/>
      <c r="E28" s="16" t="str">
        <f>IF(NOT(AND(OR(LOWER(TRIM('08 Substance use and recovery'!$C$6&amp;""))="yes",LOWER(TRIM('08 Substance use and recovery'!$C$6&amp;""))="yes"))),IF(OR(LEN(TRIM(C28))&gt;0,LEN(TRIM(D28))&gt;0),"Review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42" customHeight="1">
      <c r="A29" s="3" t="str">
        <v>longest_sobriety_months</v>
      </c>
      <c r="B29" s="13" t="str">
        <v>Longest sobriety in the last five years</v>
      </c>
      <c r="C29" t="str" s="58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82" priority="1">
      <formula>$E6="Not applicable"</formula>
    </cfRule>
  </conditionalFormatting>
  <conditionalFormatting sqref="E6:E6">
    <cfRule type="expression" dxfId="183" priority="2">
      <formula>OR($E6="Needs answer",$E6="Explain why",LEFT($E6,6)="Review")</formula>
    </cfRule>
  </conditionalFormatting>
  <conditionalFormatting sqref="D6:D6">
    <cfRule type="expression" dxfId="184" priority="3">
      <formula>OR($C6="Unable to assess",$C6="unable_to_assess")</formula>
    </cfRule>
  </conditionalFormatting>
  <conditionalFormatting sqref="B7:E7">
    <cfRule type="expression" dxfId="185" priority="4">
      <formula>$E7="Not applicable"</formula>
    </cfRule>
  </conditionalFormatting>
  <conditionalFormatting sqref="E7:E7">
    <cfRule type="expression" dxfId="186" priority="5">
      <formula>OR($E7="Needs answer",$E7="Explain why",LEFT($E7,6)="Review")</formula>
    </cfRule>
  </conditionalFormatting>
  <conditionalFormatting sqref="D7:D7">
    <cfRule type="expression" dxfId="187" priority="6">
      <formula>OR($C7="Unable to assess",$C7="unable_to_assess")</formula>
    </cfRule>
  </conditionalFormatting>
  <conditionalFormatting sqref="B8:E8">
    <cfRule type="expression" dxfId="188" priority="7">
      <formula>$E8="Not applicable"</formula>
    </cfRule>
  </conditionalFormatting>
  <conditionalFormatting sqref="E8:E8">
    <cfRule type="expression" dxfId="189" priority="8">
      <formula>OR($E8="Needs answer",$E8="Explain why",LEFT($E8,6)="Review")</formula>
    </cfRule>
  </conditionalFormatting>
  <conditionalFormatting sqref="B22:E22">
    <cfRule type="expression" dxfId="190" priority="9">
      <formula>$E22="Not applicable"</formula>
    </cfRule>
  </conditionalFormatting>
  <conditionalFormatting sqref="E22:E22">
    <cfRule type="expression" dxfId="191" priority="10">
      <formula>OR($E22="Needs answer",$E22="Explain why",LEFT($E22,6)="Review")</formula>
    </cfRule>
  </conditionalFormatting>
  <conditionalFormatting sqref="B23:E23">
    <cfRule type="expression" dxfId="192" priority="11">
      <formula>$E23="Not applicable"</formula>
    </cfRule>
  </conditionalFormatting>
  <conditionalFormatting sqref="E23:E23">
    <cfRule type="expression" dxfId="193" priority="12">
      <formula>OR($E23="Needs answer",$E23="Explain why",LEFT($E23,6)="Review")</formula>
    </cfRule>
  </conditionalFormatting>
  <conditionalFormatting sqref="B24:E24">
    <cfRule type="expression" dxfId="194" priority="13">
      <formula>$E24="Not applicable"</formula>
    </cfRule>
  </conditionalFormatting>
  <conditionalFormatting sqref="E24:E24">
    <cfRule type="expression" dxfId="195" priority="14">
      <formula>OR($E24="Needs answer",$E24="Explain why",LEFT($E24,6)="Review")</formula>
    </cfRule>
  </conditionalFormatting>
  <conditionalFormatting sqref="B25:E25">
    <cfRule type="expression" dxfId="196" priority="15">
      <formula>$E25="Not applicable"</formula>
    </cfRule>
  </conditionalFormatting>
  <conditionalFormatting sqref="E25:E25">
    <cfRule type="expression" dxfId="197" priority="16">
      <formula>OR($E25="Needs answer",$E25="Explain why",LEFT($E25,6)="Review")</formula>
    </cfRule>
  </conditionalFormatting>
  <conditionalFormatting sqref="B26:E26">
    <cfRule type="expression" dxfId="198" priority="17">
      <formula>$E26="Not applicable"</formula>
    </cfRule>
  </conditionalFormatting>
  <conditionalFormatting sqref="E26:E26">
    <cfRule type="expression" dxfId="199" priority="18">
      <formula>OR($E26="Needs answer",$E26="Explain why",LEFT($E26,6)="Review")</formula>
    </cfRule>
  </conditionalFormatting>
  <conditionalFormatting sqref="B27:E27">
    <cfRule type="expression" dxfId="200" priority="19">
      <formula>$E27="Not applicable"</formula>
    </cfRule>
  </conditionalFormatting>
  <conditionalFormatting sqref="E27:E27">
    <cfRule type="expression" dxfId="201" priority="20">
      <formula>OR($E27="Needs answer",$E27="Explain why",LEFT($E27,6)="Review")</formula>
    </cfRule>
  </conditionalFormatting>
  <conditionalFormatting sqref="B28:E28">
    <cfRule type="expression" dxfId="202" priority="21">
      <formula>$E28="Not applicable"</formula>
    </cfRule>
  </conditionalFormatting>
  <conditionalFormatting sqref="E28:E28">
    <cfRule type="expression" dxfId="203" priority="22">
      <formula>OR($E28="Needs answer",$E28="Explain why",LEFT($E28,6)="Review")</formula>
    </cfRule>
  </conditionalFormatting>
  <conditionalFormatting sqref="B29:E29">
    <cfRule type="expression" dxfId="204" priority="23">
      <formula>$E29="Not applicable"</formula>
    </cfRule>
  </conditionalFormatting>
  <conditionalFormatting sqref="E29:E29">
    <cfRule type="expression" dxfId="205" priority="24">
      <formula>OR($E29="Needs answer",$E29="Explain why",LEFT($E29,6)="Review")</formula>
    </cfRule>
  </conditionalFormatting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Safety and support</v>
      </c>
      <c r="C1" s="4"/>
      <c r="D1" s="5" t="str">
        <v>Section 9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behavioral_history</v>
      </c>
      <c r="B6" s="13" t="str">
        <v>Behavioral history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physical_altercations</v>
      </c>
      <c r="B7" s="13" t="str">
        <v>Physical altercations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2" customHeight="1">
      <c r="A8" s="3" t="str">
        <v>physical_altercation_details</v>
      </c>
      <c r="B8" s="21" t="inlineStr">
        <is>
          <r>
            <rPr>
              <b/>
              <sz val="12"/>
              <color rgb="FF233B32"/>
            </rPr>
            <t>Physical altercation details</t>
          </r>
          <r>
            <rPr>
              <b val="0"/>
              <sz val="10"/>
              <color rgb="FF59675F"/>
            </rPr>
            <t xml:space="preserve">
Only if Physical altercations is Yes.
Optional. Include an approximate date and response or support used, if known.</t>
          </r>
        </is>
      </c>
      <c r="C8" t="str" s="50"/>
      <c r="D8" t="str" s="48"/>
      <c r="E8" s="16" t="str">
        <f>IF(NOT(AND(OR(LOWER(TRIM('09 Safety and support'!$C$7&amp;""))="yes",LOWER(TRIM('09 Safety and support'!$C$7&amp;""))="yes"))),IF(OR(LEN(TRIM(C8))&gt;0,LEN(TRIM(D8))&gt;0),"Review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self_harm_history</v>
      </c>
      <c r="B9" s="13" t="str">
        <v>History of self-harm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last_self_harm_incident</v>
      </c>
      <c r="B10" s="21" t="inlineStr">
        <is>
          <r>
            <rPr>
              <b/>
              <sz val="12"/>
              <color rgb="FF233B32"/>
            </rPr>
            <t>Last documented self-harm incident</t>
          </r>
          <r>
            <rPr>
              <b val="0"/>
              <sz val="10"/>
              <color rgb="FF59675F"/>
            </rPr>
            <t xml:space="preserve">
Only if History of self-harm is Yes.</t>
          </r>
        </is>
      </c>
      <c r="C10" t="str" s="50"/>
      <c r="D10" t="str" s="48"/>
      <c r="E10" s="16" t="str">
        <f>IF(NOT(AND(OR(LOWER(TRIM('09 Safety and support'!$C$9&amp;""))="yes",LOWER(TRIM('09 Safety and support'!$C$9&amp;""))="yes"))),IF(OR(LEN(TRIM(C10))&gt;0,LEN(TRIM(D10))&gt;0),"Review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why",IF(LEN(TRIM(C10))&gt;0,"Answered",IF(OR(LOWER(TRIM('09 Safety and support'!$C$9&amp;""))="yes",LOWER(TRIM('09 Safety and support'!$C$9&amp;""))="yes"),"Needs answer","Optional")))))</f>
        <v>Not applicable</v>
      </c>
    </row>
    <row r="11" ht="34" customHeight="1">
      <c r="A11" s="3" t="str">
        <v>current_self_harm_ideation</v>
      </c>
      <c r="B11" s="13" t="str">
        <v>Current self-harm ideation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current_self_harm_details</v>
      </c>
      <c r="B12" s="21" t="inlineStr">
        <is>
          <r>
            <rPr>
              <b/>
              <sz val="12"/>
              <color rgb="FF233B32"/>
            </rPr>
            <t>Current self-harm ideation details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2" t="str" s="50"/>
      <c r="D12" t="str" s="48"/>
      <c r="E12" s="16" t="str">
        <f>IF(NOT(AND(OR(LOWER(TRIM('09 Safety and support'!$C$11&amp;""))="yes",LOWER(TRIM('09 Safety and support'!$C$11&amp;""))="yes"))),IF(OR(LEN(TRIM(C12))&gt;0,LEN(TRIM(D12))&gt;0),"Review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why",IF(LEN(TRIM(C12))&gt;0,"Answered",IF(OR(LOWER(TRIM('09 Safety and support'!$C$11&amp;""))="yes",LOWER(TRIM('09 Safety and support'!$C$11&amp;""))="yes"),"Needs answer","Optional")))))</f>
        <v>Not applicable</v>
      </c>
    </row>
    <row r="13" ht="72" customHeight="1">
      <c r="A13" s="3" t="str">
        <v>current_safety_measures</v>
      </c>
      <c r="B13" s="21" t="inlineStr">
        <is>
          <r>
            <rPr>
              <b/>
              <sz val="12"/>
              <color rgb="FF233B32"/>
            </rPr>
            <t>Current safety measures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3" t="str" s="50"/>
      <c r="D13" t="str" s="48"/>
      <c r="E13" s="16" t="str">
        <f>IF(NOT(AND(OR(LOWER(TRIM('09 Safety and support'!$C$11&amp;""))="yes",LOWER(TRIM('09 Safety and support'!$C$11&amp;""))="yes"))),IF(OR(LEN(TRIM(C13))&gt;0,LEN(TRIM(D13))&gt;0),"Review previous answer","Not applicable"),IF(AND(LEN(TRIM(D13))&gt;0,NOT(FALSE)),"Review previous reason",IF(AND(FALSE,NOT(LEN(TRIM(D13))&gt;0)),"Explain why",IF(LEN(TRIM(C13))&gt;0,"Answered",IF(OR(LOWER(TRIM('09 Safety and support'!$C$11&amp;""))="yes",LOWER(TRIM('09 Safety and support'!$C$11&amp;""))="yes"),"Needs answer","Optional")))))</f>
        <v>Not applicable</v>
      </c>
    </row>
    <row r="14" ht="34" customHeight="1">
      <c r="A14" s="3" t="str">
        <v>assault_history</v>
      </c>
      <c r="B14" s="13" t="str">
        <v>History of assaults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72" customHeight="1">
      <c r="A15" s="3" t="str">
        <v>last_assault_details</v>
      </c>
      <c r="B15" s="21" t="inlineStr">
        <is>
          <r>
            <rPr>
              <b/>
              <sz val="12"/>
              <color rgb="FF233B32"/>
            </rPr>
            <t>Most recent assault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5" t="str" s="50"/>
      <c r="D15" t="str" s="48"/>
      <c r="E15" s="16" t="str">
        <f>IF(NOT(AND(OR(LOWER(TRIM('09 Safety and support'!$C$14&amp;""))="yes",LOWER(TRIM('09 Safety and support'!$C$14&amp;""))="yes"))),IF(OR(LEN(TRIM(C15))&gt;0,LEN(TRIM(D15))&gt;0),"Review previous answer","Not applicable"),IF(AND(LEN(TRIM(D15))&gt;0,NOT(FALSE)),"Review previous reason",IF(AND(FALSE,NOT(LEN(TRIM(D15))&gt;0)),"Explain why",IF(LEN(TRIM(C15))&gt;0,"Answered",IF(OR(LOWER(TRIM('09 Safety and support'!$C$14&amp;""))="yes",LOWER(TRIM('09 Safety and support'!$C$14&amp;""))="yes"),"Needs answer","Optional")))))</f>
        <v>Not applicable</v>
      </c>
    </row>
    <row r="16" ht="39" customHeight="1">
      <c r="A16" s="3" t="str">
        <v>assaults_last_two_years_count</v>
      </c>
      <c r="B16" s="21" t="inlineStr">
        <is>
          <r>
            <rPr>
              <b/>
              <sz val="12"/>
              <color rgb="FF233B32"/>
            </rPr>
            <t>Assaults in the last two years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6" t="str" s="58"/>
      <c r="D16" t="str" s="48"/>
      <c r="E16" s="16" t="str">
        <f>IF(NOT(AND(OR(LOWER(TRIM('09 Safety and support'!$C$14&amp;""))="yes",LOWER(TRIM('09 Safety and support'!$C$14&amp;""))="yes"))),IF(OR(LEN(TRIM(C16))&gt;0,LEN(TRIM(D16))&gt;0),"Review previous answer","Not applicable"),IF(AND(LEN(TRIM(D16))&gt;0,NOT(FALSE)),"Review previous reason",IF(AND(FALSE,NOT(LEN(TRIM(D16))&gt;0)),"Explain why",IF(LEN(TRIM(C16))&gt;0,"Answered",IF(OR(LOWER(TRIM('09 Safety and support'!$C$14&amp;""))="yes",LOWER(TRIM('09 Safety and support'!$C$14&amp;""))="yes"),"Needs answer","Optional")))))</f>
        <v>Not applicable</v>
      </c>
    </row>
    <row r="17" ht="34" customHeight="1">
      <c r="A17" s="3" t="str">
        <v>elopement_history</v>
      </c>
      <c r="B17" s="13" t="str">
        <v>History of elopement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72" customHeight="1">
      <c r="A18" s="3" t="str">
        <v>elopement_risk</v>
      </c>
      <c r="B18" s="21" t="inlineStr">
        <is>
          <r>
            <rPr>
              <b/>
              <sz val="12"/>
              <color rgb="FF233B32"/>
            </rPr>
            <t>Elopement risk</t>
          </r>
          <r>
            <rPr>
              <b val="0"/>
              <sz val="10"/>
              <color rgb="FF59675F"/>
            </rPr>
            <t xml:space="preserve">
Only if History of elopement is Yes.</t>
          </r>
        </is>
      </c>
      <c r="C18" t="str" s="50"/>
      <c r="D18" t="str" s="48"/>
      <c r="E18" s="16" t="str">
        <f>IF(NOT(AND(OR(LOWER(TRIM('09 Safety and support'!$C$17&amp;""))="yes",LOWER(TRIM('09 Safety and support'!$C$17&amp;""))="yes"))),IF(OR(LEN(TRIM(C18))&gt;0,LEN(TRIM(D18))&gt;0),"Review previous answer","Not applicable"),IF(AND(LEN(TRIM(D18))&gt;0,NOT(FALSE)),"Review previous reason",IF(AND(FALSE,NOT(LEN(TRIM(D18))&gt;0)),"Explain why",IF(LEN(TRIM(C18))&gt;0,"Answered",IF(OR(LOWER(TRIM('09 Safety and support'!$C$17&amp;""))="yes",LOWER(TRIM('09 Safety and support'!$C$17&amp;""))="yes"),"Needs answer","Optional")))))</f>
        <v>Not applicable</v>
      </c>
    </row>
    <row r="19" ht="72" customHeight="1">
      <c r="A19" s="3" t="str">
        <v>si_hi_history</v>
      </c>
      <c r="B19" s="13" t="str">
        <v>SI / HI history</v>
      </c>
      <c r="C19" t="str" s="50"/>
      <c r="D19" t="str" s="48"/>
      <c r="E19" s="16" t="str">
        <f>IF(NOT(TRUE),IF(OR(LEN(TRIM(C19))&gt;0,LEN(TRIM(D19))&gt;0),"Review previous answer","Not applicable"),IF(AND(LEN(TRIM(D19))&gt;0,NOT(FALSE)),"Review previous reason",IF(AND(FALSE,NOT(LEN(TRIM(D19))&gt;0)),"Explain why",IF(LEN(TRIM(C19))&gt;0,"Answered",IF(FALSE,"Needs answer","Optional")))))</f>
        <v>Optional</v>
      </c>
    </row>
    <row r="20" ht="34" customHeight="1">
      <c r="A20" s="3" t="str">
        <v>triggers</v>
      </c>
      <c r="B20" s="13" t="str">
        <v>Triggers and what helps</v>
      </c>
      <c r="C20" t="str" s="50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why",IF(LEN(TRIM(C20))&gt;0,"Answered",IF(FALSE,"Needs answer","Optional")))))</f>
        <v>Optional</v>
      </c>
    </row>
    <row r="21" ht="34" customHeight="1">
      <c r="A21" s="3" t="str">
        <v>aggression_risk</v>
      </c>
      <c r="B21" s="13" t="str">
        <v>Aggression risk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responds_to_internal_stimuli</v>
      </c>
      <c r="B22" s="13" t="str">
        <v>Responds to internal stimuli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34" customHeight="1">
      <c r="A23" s="3" t="str">
        <v>auditory_hallucinations</v>
      </c>
      <c r="B23" s="13" t="str">
        <v>Auditory hallucinations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42" customHeight="1">
      <c r="A24" s="3" t="str">
        <v>auditory_hallucination_nature</v>
      </c>
      <c r="B24" s="13" t="str">
        <v>Nature of auditory hallucinations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auditory_hallucination_frequency</v>
      </c>
      <c r="B25" s="13" t="str">
        <v>Current auditory frequency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auditory_hallucination_triggers</v>
      </c>
      <c r="B26" s="13" t="str">
        <v>Auditory triggers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  <row r="27" ht="34" customHeight="1">
      <c r="A27" s="3" t="str">
        <v>visual_hallucinations</v>
      </c>
      <c r="B27" s="13" t="str">
        <v>Visual hallucinations</v>
      </c>
      <c r="C27" t="str" s="50"/>
      <c r="D27" t="str" s="48"/>
      <c r="E27" s="16" t="str">
        <f>IF(NOT(TRUE),IF(OR(LEN(TRIM(C27))&gt;0,LEN(TRIM(D27))&gt;0),"Review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Optional</v>
      </c>
    </row>
    <row r="28" ht="42" customHeight="1">
      <c r="A28" s="3" t="str">
        <v>visual_hallucination_details</v>
      </c>
      <c r="B28" s="13" t="str">
        <v>Nature and frequency of visual hallucinations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34" customHeight="1">
      <c r="A29" s="3" t="str">
        <v>visual_hallucination_recent</v>
      </c>
      <c r="B29" s="13" t="str">
        <v>Recent visual hallucinations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34" customHeight="1">
      <c r="A30" s="3" t="str">
        <v>olfactory_hallucinations</v>
      </c>
      <c r="B30" s="13" t="str">
        <v>Olfactory hallucinations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olfactory_hallucination_details</v>
      </c>
      <c r="B31" s="13" t="str">
        <v>Olfactory hallucination details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42" customHeight="1">
      <c r="A32" s="3" t="str">
        <v>olfactory_hallucination_impact</v>
      </c>
      <c r="B32" s="13" t="str">
        <v>Impact of olfactory hallucinations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tactile_hallucinations</v>
      </c>
      <c r="B33" s="13" t="str">
        <v>Tactile hallucinations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tactile_hallucination_details</v>
      </c>
      <c r="B34" s="13" t="str">
        <v>Tactile hallucination details</v>
      </c>
      <c r="C34" t="str" s="50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tactile_hallucination_frequency</v>
      </c>
      <c r="B35" s="13" t="str">
        <v>Tactile hallucination frequency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gustatory_hallucinations</v>
      </c>
      <c r="B36" s="13" t="str">
        <v>Gustatory hallucinations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gustatory_hallucination_details</v>
      </c>
      <c r="B37" s="13" t="str">
        <v>Gustatory hallucination details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hallucination_coping_strategies</v>
      </c>
      <c r="B38" s="13" t="str">
        <v>Hallucination coping strategies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42" customHeight="1">
      <c r="A39" s="3" t="str">
        <v>hallucination_distress_impairment</v>
      </c>
      <c r="B39" s="13" t="str">
        <v>Hallucination distress or impairment</v>
      </c>
      <c r="C39" t="str" s="50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  <row r="40" ht="34" customHeight="1">
      <c r="A40" s="3" t="str">
        <v>hallucination_functional_impact</v>
      </c>
      <c r="B40" s="13" t="str">
        <v>Impact on daily functioning</v>
      </c>
      <c r="C40" t="str" s="50"/>
      <c r="D40" t="str" s="48"/>
      <c r="E40" s="16" t="str">
        <f>IF(NOT(TRUE),IF(OR(LEN(TRIM(C40))&gt;0,LEN(TRIM(D40))&gt;0),"Review previous answer","Not applicable"),IF(AND(LEN(TRIM(D40))&gt;0,NOT(FALSE)),"Review previous reason",IF(AND(FALSE,NOT(LEN(TRIM(D40))&gt;0)),"Explain why",IF(LEN(TRIM(C40))&gt;0,"Answered",IF(FALSE,"Needs answer","Optional")))))</f>
        <v>Optional</v>
      </c>
    </row>
    <row r="41" ht="42" customHeight="1">
      <c r="A41" s="3" t="str">
        <v>hallucination_treatment_history</v>
      </c>
      <c r="B41" s="13" t="str">
        <v>Professional discussion and treatment</v>
      </c>
      <c r="C41" t="str" s="50"/>
      <c r="D41" t="str" s="48"/>
      <c r="E41" s="16" t="str">
        <f>IF(NOT(TRUE),IF(OR(LEN(TRIM(C41))&gt;0,LEN(TRIM(D41))&gt;0),"Review previous answer","Not applicable"),IF(AND(LEN(TRIM(D41))&gt;0,NOT(FALSE)),"Review previous reason",IF(AND(FALSE,NOT(LEN(TRIM(D41))&gt;0)),"Explain why",IF(LEN(TRIM(C41))&gt;0,"Answered",IF(FALSE,"Needs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06" priority="1">
      <formula>$E6="Not applicable"</formula>
    </cfRule>
  </conditionalFormatting>
  <conditionalFormatting sqref="E6:E6">
    <cfRule type="expression" dxfId="207" priority="2">
      <formula>OR($E6="Needs answer",$E6="Explain why",LEFT($E6,6)="Review")</formula>
    </cfRule>
  </conditionalFormatting>
  <conditionalFormatting sqref="B7:E7">
    <cfRule type="expression" dxfId="208" priority="3">
      <formula>$E7="Not applicable"</formula>
    </cfRule>
  </conditionalFormatting>
  <conditionalFormatting sqref="E7:E7">
    <cfRule type="expression" dxfId="209" priority="4">
      <formula>OR($E7="Needs answer",$E7="Explain why",LEFT($E7,6)="Review")</formula>
    </cfRule>
  </conditionalFormatting>
  <conditionalFormatting sqref="D7:D7">
    <cfRule type="expression" dxfId="210" priority="5">
      <formula>OR($C7="Unable to assess",$C7="unable_to_assess")</formula>
    </cfRule>
  </conditionalFormatting>
  <conditionalFormatting sqref="B8:E8">
    <cfRule type="expression" dxfId="211" priority="6">
      <formula>$E8="Not applicable"</formula>
    </cfRule>
  </conditionalFormatting>
  <conditionalFormatting sqref="E8:E8">
    <cfRule type="expression" dxfId="212" priority="7">
      <formula>OR($E8="Needs answer",$E8="Explain why",LEFT($E8,6)="Review")</formula>
    </cfRule>
  </conditionalFormatting>
  <conditionalFormatting sqref="B9:E9">
    <cfRule type="expression" dxfId="213" priority="8">
      <formula>$E9="Not applicable"</formula>
    </cfRule>
  </conditionalFormatting>
  <conditionalFormatting sqref="E9:E9">
    <cfRule type="expression" dxfId="214" priority="9">
      <formula>OR($E9="Needs answer",$E9="Explain why",LEFT($E9,6)="Review")</formula>
    </cfRule>
  </conditionalFormatting>
  <conditionalFormatting sqref="D9:D9">
    <cfRule type="expression" dxfId="215" priority="10">
      <formula>OR($C9="Unable to assess",$C9="unable_to_assess")</formula>
    </cfRule>
  </conditionalFormatting>
  <conditionalFormatting sqref="B10:E10">
    <cfRule type="expression" dxfId="216" priority="11">
      <formula>$E10="Not applicable"</formula>
    </cfRule>
  </conditionalFormatting>
  <conditionalFormatting sqref="E10:E10">
    <cfRule type="expression" dxfId="217" priority="12">
      <formula>OR($E10="Needs answer",$E10="Explain why",LEFT($E10,6)="Review")</formula>
    </cfRule>
  </conditionalFormatting>
  <conditionalFormatting sqref="B11:E11">
    <cfRule type="expression" dxfId="218" priority="13">
      <formula>$E11="Not applicable"</formula>
    </cfRule>
  </conditionalFormatting>
  <conditionalFormatting sqref="E11:E11">
    <cfRule type="expression" dxfId="219" priority="14">
      <formula>OR($E11="Needs answer",$E11="Explain why",LEFT($E11,6)="Review")</formula>
    </cfRule>
  </conditionalFormatting>
  <conditionalFormatting sqref="D11:D11">
    <cfRule type="expression" dxfId="220" priority="15">
      <formula>OR($C11="Unable to assess",$C11="unable_to_assess")</formula>
    </cfRule>
  </conditionalFormatting>
  <conditionalFormatting sqref="B12:E12">
    <cfRule type="expression" dxfId="221" priority="16">
      <formula>$E12="Not applicable"</formula>
    </cfRule>
  </conditionalFormatting>
  <conditionalFormatting sqref="E12:E12">
    <cfRule type="expression" dxfId="222" priority="17">
      <formula>OR($E12="Needs answer",$E12="Explain why",LEFT($E12,6)="Review")</formula>
    </cfRule>
  </conditionalFormatting>
  <conditionalFormatting sqref="B13:E13">
    <cfRule type="expression" dxfId="223" priority="18">
      <formula>$E13="Not applicable"</formula>
    </cfRule>
  </conditionalFormatting>
  <conditionalFormatting sqref="E13:E13">
    <cfRule type="expression" dxfId="224" priority="19">
      <formula>OR($E13="Needs answer",$E13="Explain why",LEFT($E13,6)="Review")</formula>
    </cfRule>
  </conditionalFormatting>
  <conditionalFormatting sqref="B14:E14">
    <cfRule type="expression" dxfId="225" priority="20">
      <formula>$E14="Not applicable"</formula>
    </cfRule>
  </conditionalFormatting>
  <conditionalFormatting sqref="E14:E14">
    <cfRule type="expression" dxfId="226" priority="21">
      <formula>OR($E14="Needs answer",$E14="Explain why",LEFT($E14,6)="Review")</formula>
    </cfRule>
  </conditionalFormatting>
  <conditionalFormatting sqref="D14:D14">
    <cfRule type="expression" dxfId="227" priority="22">
      <formula>OR($C14="Unable to assess",$C14="unable_to_assess")</formula>
    </cfRule>
  </conditionalFormatting>
  <conditionalFormatting sqref="B15:E15">
    <cfRule type="expression" dxfId="228" priority="23">
      <formula>$E15="Not applicable"</formula>
    </cfRule>
  </conditionalFormatting>
  <conditionalFormatting sqref="E15:E15">
    <cfRule type="expression" dxfId="229" priority="24">
      <formula>OR($E15="Needs answer",$E15="Explain why",LEFT($E15,6)="Review")</formula>
    </cfRule>
  </conditionalFormatting>
  <conditionalFormatting sqref="B16:E16">
    <cfRule type="expression" dxfId="230" priority="25">
      <formula>$E16="Not applicable"</formula>
    </cfRule>
  </conditionalFormatting>
  <conditionalFormatting sqref="E16:E16">
    <cfRule type="expression" dxfId="231" priority="26">
      <formula>OR($E16="Needs answer",$E16="Explain why",LEFT($E16,6)="Review")</formula>
    </cfRule>
  </conditionalFormatting>
  <conditionalFormatting sqref="B17:E17">
    <cfRule type="expression" dxfId="232" priority="27">
      <formula>$E17="Not applicable"</formula>
    </cfRule>
  </conditionalFormatting>
  <conditionalFormatting sqref="E17:E17">
    <cfRule type="expression" dxfId="233" priority="28">
      <formula>OR($E17="Needs answer",$E17="Explain why",LEFT($E17,6)="Review")</formula>
    </cfRule>
  </conditionalFormatting>
  <conditionalFormatting sqref="D17:D17">
    <cfRule type="expression" dxfId="234" priority="29">
      <formula>OR($C17="Unable to assess",$C17="unable_to_assess")</formula>
    </cfRule>
  </conditionalFormatting>
  <conditionalFormatting sqref="B18:E18">
    <cfRule type="expression" dxfId="235" priority="30">
      <formula>$E18="Not applicable"</formula>
    </cfRule>
  </conditionalFormatting>
  <conditionalFormatting sqref="E18:E18">
    <cfRule type="expression" dxfId="236" priority="31">
      <formula>OR($E18="Needs answer",$E18="Explain why",LEFT($E18,6)="Review")</formula>
    </cfRule>
  </conditionalFormatting>
  <conditionalFormatting sqref="B19:E19">
    <cfRule type="expression" dxfId="237" priority="32">
      <formula>$E19="Not applicable"</formula>
    </cfRule>
  </conditionalFormatting>
  <conditionalFormatting sqref="E19:E19">
    <cfRule type="expression" dxfId="238" priority="33">
      <formula>OR($E19="Needs answer",$E19="Explain why",LEFT($E19,6)="Review")</formula>
    </cfRule>
  </conditionalFormatting>
  <conditionalFormatting sqref="B20:E20">
    <cfRule type="expression" dxfId="239" priority="34">
      <formula>$E20="Not applicable"</formula>
    </cfRule>
  </conditionalFormatting>
  <conditionalFormatting sqref="E20:E20">
    <cfRule type="expression" dxfId="240" priority="35">
      <formula>OR($E20="Needs answer",$E20="Explain why",LEFT($E20,6)="Review")</formula>
    </cfRule>
  </conditionalFormatting>
  <conditionalFormatting sqref="B21:E21">
    <cfRule type="expression" dxfId="241" priority="36">
      <formula>$E21="Not applicable"</formula>
    </cfRule>
  </conditionalFormatting>
  <conditionalFormatting sqref="E21:E21">
    <cfRule type="expression" dxfId="242" priority="37">
      <formula>OR($E21="Needs answer",$E21="Explain why",LEFT($E21,6)="Review")</formula>
    </cfRule>
  </conditionalFormatting>
  <conditionalFormatting sqref="B22:E22">
    <cfRule type="expression" dxfId="243" priority="38">
      <formula>$E22="Not applicable"</formula>
    </cfRule>
  </conditionalFormatting>
  <conditionalFormatting sqref="E22:E22">
    <cfRule type="expression" dxfId="244" priority="39">
      <formula>OR($E22="Needs answer",$E22="Explain why",LEFT($E22,6)="Review")</formula>
    </cfRule>
  </conditionalFormatting>
  <conditionalFormatting sqref="B23:E23">
    <cfRule type="expression" dxfId="245" priority="40">
      <formula>$E23="Not applicable"</formula>
    </cfRule>
  </conditionalFormatting>
  <conditionalFormatting sqref="E23:E23">
    <cfRule type="expression" dxfId="246" priority="41">
      <formula>OR($E23="Needs answer",$E23="Explain why",LEFT($E23,6)="Review")</formula>
    </cfRule>
  </conditionalFormatting>
  <conditionalFormatting sqref="B24:E24">
    <cfRule type="expression" dxfId="247" priority="42">
      <formula>$E24="Not applicable"</formula>
    </cfRule>
  </conditionalFormatting>
  <conditionalFormatting sqref="E24:E24">
    <cfRule type="expression" dxfId="248" priority="43">
      <formula>OR($E24="Needs answer",$E24="Explain why",LEFT($E24,6)="Review")</formula>
    </cfRule>
  </conditionalFormatting>
  <conditionalFormatting sqref="B25:E25">
    <cfRule type="expression" dxfId="249" priority="44">
      <formula>$E25="Not applicable"</formula>
    </cfRule>
  </conditionalFormatting>
  <conditionalFormatting sqref="E25:E25">
    <cfRule type="expression" dxfId="250" priority="45">
      <formula>OR($E25="Needs answer",$E25="Explain why",LEFT($E25,6)="Review")</formula>
    </cfRule>
  </conditionalFormatting>
  <conditionalFormatting sqref="B26:E26">
    <cfRule type="expression" dxfId="251" priority="46">
      <formula>$E26="Not applicable"</formula>
    </cfRule>
  </conditionalFormatting>
  <conditionalFormatting sqref="E26:E26">
    <cfRule type="expression" dxfId="252" priority="47">
      <formula>OR($E26="Needs answer",$E26="Explain why",LEFT($E26,6)="Review")</formula>
    </cfRule>
  </conditionalFormatting>
  <conditionalFormatting sqref="B27:E27">
    <cfRule type="expression" dxfId="253" priority="48">
      <formula>$E27="Not applicable"</formula>
    </cfRule>
  </conditionalFormatting>
  <conditionalFormatting sqref="E27:E27">
    <cfRule type="expression" dxfId="254" priority="49">
      <formula>OR($E27="Needs answer",$E27="Explain why",LEFT($E27,6)="Review")</formula>
    </cfRule>
  </conditionalFormatting>
  <conditionalFormatting sqref="B28:E28">
    <cfRule type="expression" dxfId="255" priority="50">
      <formula>$E28="Not applicable"</formula>
    </cfRule>
  </conditionalFormatting>
  <conditionalFormatting sqref="E28:E28">
    <cfRule type="expression" dxfId="256" priority="51">
      <formula>OR($E28="Needs answer",$E28="Explain why",LEFT($E28,6)="Review")</formula>
    </cfRule>
  </conditionalFormatting>
  <conditionalFormatting sqref="B29:E29">
    <cfRule type="expression" dxfId="257" priority="52">
      <formula>$E29="Not applicable"</formula>
    </cfRule>
  </conditionalFormatting>
  <conditionalFormatting sqref="E29:E29">
    <cfRule type="expression" dxfId="258" priority="53">
      <formula>OR($E29="Needs answer",$E29="Explain why",LEFT($E29,6)="Review")</formula>
    </cfRule>
  </conditionalFormatting>
  <conditionalFormatting sqref="B30:E30">
    <cfRule type="expression" dxfId="259" priority="54">
      <formula>$E30="Not applicable"</formula>
    </cfRule>
  </conditionalFormatting>
  <conditionalFormatting sqref="E30:E30">
    <cfRule type="expression" dxfId="260" priority="55">
      <formula>OR($E30="Needs answer",$E30="Explain why",LEFT($E30,6)="Review")</formula>
    </cfRule>
  </conditionalFormatting>
  <conditionalFormatting sqref="B31:E31">
    <cfRule type="expression" dxfId="261" priority="56">
      <formula>$E31="Not applicable"</formula>
    </cfRule>
  </conditionalFormatting>
  <conditionalFormatting sqref="E31:E31">
    <cfRule type="expression" dxfId="262" priority="57">
      <formula>OR($E31="Needs answer",$E31="Explain why",LEFT($E31,6)="Review")</formula>
    </cfRule>
  </conditionalFormatting>
  <conditionalFormatting sqref="B32:E32">
    <cfRule type="expression" dxfId="263" priority="58">
      <formula>$E32="Not applicable"</formula>
    </cfRule>
  </conditionalFormatting>
  <conditionalFormatting sqref="E32:E32">
    <cfRule type="expression" dxfId="264" priority="59">
      <formula>OR($E32="Needs answer",$E32="Explain why",LEFT($E32,6)="Review")</formula>
    </cfRule>
  </conditionalFormatting>
  <conditionalFormatting sqref="B33:E33">
    <cfRule type="expression" dxfId="265" priority="60">
      <formula>$E33="Not applicable"</formula>
    </cfRule>
  </conditionalFormatting>
  <conditionalFormatting sqref="E33:E33">
    <cfRule type="expression" dxfId="266" priority="61">
      <formula>OR($E33="Needs answer",$E33="Explain why",LEFT($E33,6)="Review")</formula>
    </cfRule>
  </conditionalFormatting>
  <conditionalFormatting sqref="B34:E34">
    <cfRule type="expression" dxfId="267" priority="62">
      <formula>$E34="Not applicable"</formula>
    </cfRule>
  </conditionalFormatting>
  <conditionalFormatting sqref="E34:E34">
    <cfRule type="expression" dxfId="268" priority="63">
      <formula>OR($E34="Needs answer",$E34="Explain why",LEFT($E34,6)="Review")</formula>
    </cfRule>
  </conditionalFormatting>
  <conditionalFormatting sqref="B35:E35">
    <cfRule type="expression" dxfId="269" priority="64">
      <formula>$E35="Not applicable"</formula>
    </cfRule>
  </conditionalFormatting>
  <conditionalFormatting sqref="E35:E35">
    <cfRule type="expression" dxfId="270" priority="65">
      <formula>OR($E35="Needs answer",$E35="Explain why",LEFT($E35,6)="Review")</formula>
    </cfRule>
  </conditionalFormatting>
  <conditionalFormatting sqref="B36:E36">
    <cfRule type="expression" dxfId="271" priority="66">
      <formula>$E36="Not applicable"</formula>
    </cfRule>
  </conditionalFormatting>
  <conditionalFormatting sqref="E36:E36">
    <cfRule type="expression" dxfId="272" priority="67">
      <formula>OR($E36="Needs answer",$E36="Explain why",LEFT($E36,6)="Review")</formula>
    </cfRule>
  </conditionalFormatting>
  <conditionalFormatting sqref="B37:E37">
    <cfRule type="expression" dxfId="273" priority="68">
      <formula>$E37="Not applicable"</formula>
    </cfRule>
  </conditionalFormatting>
  <conditionalFormatting sqref="E37:E37">
    <cfRule type="expression" dxfId="274" priority="69">
      <formula>OR($E37="Needs answer",$E37="Explain why",LEFT($E37,6)="Review")</formula>
    </cfRule>
  </conditionalFormatting>
  <conditionalFormatting sqref="B38:E38">
    <cfRule type="expression" dxfId="275" priority="70">
      <formula>$E38="Not applicable"</formula>
    </cfRule>
  </conditionalFormatting>
  <conditionalFormatting sqref="E38:E38">
    <cfRule type="expression" dxfId="276" priority="71">
      <formula>OR($E38="Needs answer",$E38="Explain why",LEFT($E38,6)="Review")</formula>
    </cfRule>
  </conditionalFormatting>
  <conditionalFormatting sqref="B39:E39">
    <cfRule type="expression" dxfId="277" priority="72">
      <formula>$E39="Not applicable"</formula>
    </cfRule>
  </conditionalFormatting>
  <conditionalFormatting sqref="E39:E39">
    <cfRule type="expression" dxfId="278" priority="73">
      <formula>OR($E39="Needs answer",$E39="Explain why",LEFT($E39,6)="Review")</formula>
    </cfRule>
  </conditionalFormatting>
  <conditionalFormatting sqref="B40:E40">
    <cfRule type="expression" dxfId="279" priority="74">
      <formula>$E40="Not applicable"</formula>
    </cfRule>
  </conditionalFormatting>
  <conditionalFormatting sqref="E40:E40">
    <cfRule type="expression" dxfId="280" priority="75">
      <formula>OR($E40="Needs answer",$E40="Explain why",LEFT($E40,6)="Review")</formula>
    </cfRule>
  </conditionalFormatting>
  <conditionalFormatting sqref="B41:E41">
    <cfRule type="expression" dxfId="281" priority="76">
      <formula>$E41="Not applicable"</formula>
    </cfRule>
  </conditionalFormatting>
  <conditionalFormatting sqref="E41:E41">
    <cfRule type="expression" dxfId="282" priority="77">
      <formula>OR($E41="Needs answer",$E41="Explain why",LEFT($E41,6)="Review")</formula>
    </cfRule>
  </conditionalFormatting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Decisions and legal support</v>
      </c>
      <c r="C1" s="4"/>
      <c r="D1" s="5" t="str">
        <v>Section 10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conservatorship_type</v>
      </c>
      <c r="B6" s="13" t="str">
        <v>Conserved status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51" customHeight="1">
      <c r="A7" s="3" t="str">
        <v>conservator_name</v>
      </c>
      <c r="B7" s="21" t="inlineStr">
        <is>
          <r>
            <rPr>
              <b/>
              <sz val="12"/>
              <color rgb="FF233B32"/>
            </rPr>
            <t>Conservator name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7" t="str" s="50"/>
      <c r="D7" t="str" s="48"/>
      <c r="E7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support'!$C$6&amp;""))="non-conserved"))))),IF(OR(LEN(TRIM(C7))&gt;0,LEN(TRIM(D7))&gt;0),"Review previous answer","Not applicable"),IF(AND(LEN(TRIM(D7))&gt;0,NOT(FALSE)),"Review previous reason",IF(AND(FALSE,NOT(LEN(TRIM(D7))&gt;0)),"Explain why",IF(LEN(TRIM(C7))&gt;0,"Answered",IF(AND(LEN(LOWER(TRIM('10 Decisions and legal support'!$C$6&amp;"")))&gt;0,NOT(OR(LOWER(TRIM('10 Decisions and legal support'!$C$6&amp;""))="non_conserved",LOWER(TRIM('10 Decisions and legal support'!$C$6&amp;""))="non-conserved"))),"Needs answer","Optional")))))</f>
        <v>Not applicable</v>
      </c>
    </row>
    <row r="8" ht="51" customHeight="1">
      <c r="A8" s="3" t="str">
        <v>conservatorship_status</v>
      </c>
      <c r="B8" s="21" t="inlineStr">
        <is>
          <r>
            <rPr>
              <b/>
              <sz val="12"/>
              <color rgb="FF233B32"/>
            </rPr>
            <t>Conservatorship details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8" t="str" s="50"/>
      <c r="D8" t="str" s="48"/>
      <c r="E8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hold_type</v>
      </c>
      <c r="B9" s="13" t="str">
        <v>Hold type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34" customHeight="1">
      <c r="A10" s="3" t="str">
        <v>forensic_involvement</v>
      </c>
      <c r="B10" s="13" t="str">
        <v>Forensic involvement</v>
      </c>
      <c r="C10" t="str" s="50"/>
      <c r="D10" t="str" s="48"/>
      <c r="E10" s="16" t="str">
        <f>IF(NOT(TRUE),IF(OR(LEN(TRIM(C10))&gt;0,LEN(TRIM(D10))&gt;0),"Review previous answer","Not applicable"),IF(AND(LEN(TRIM(D10))&gt;0,NOT(OR(LOWER(TRIM(C10))="unable to assess",C10="unable_to_assess"))),"Review previous reason",IF(AND(OR(LOWER(TRIM(C10))="unable to assess",C10="unable_to_assess"),NOT(LEN(TRIM(D10))&gt;0)),"Explain why",IF(LEN(TRIM(C10))&gt;0,"Answered",IF(TRUE,"Needs answer","Optional")))))</f>
        <v>Needs answer</v>
      </c>
    </row>
    <row r="11" ht="72" customHeight="1">
      <c r="A11" s="3" t="str">
        <v>forensic_involvement_details</v>
      </c>
      <c r="B11" s="21" t="inlineStr">
        <is>
          <r>
            <rPr>
              <b/>
              <sz val="12"/>
              <color rgb="FF233B32"/>
            </rPr>
            <t>Forensic involvement details</t>
          </r>
          <r>
            <rPr>
              <b val="0"/>
              <sz val="10"/>
              <color rgb="FF59675F"/>
            </rPr>
            <t xml:space="preserve">
Only if Forensic involvement is Yes.</t>
          </r>
        </is>
      </c>
      <c r="C11" t="str" s="50"/>
      <c r="D11" t="str" s="48"/>
      <c r="E11" s="16" t="str">
        <f>IF(NOT(AND(OR(LOWER(TRIM('10 Decisions and legal support'!$C$10&amp;""))="yes",LOWER(TRIM('10 Decisions and legal support'!$C$10&amp;""))="yes"))),IF(OR(LEN(TRIM(C11))&gt;0,LEN(TRIM(D11))&gt;0),"Review previous answer","Not applicable"),IF(AND(LEN(TRIM(D11))&gt;0,NOT(FALSE)),"Review previous reason",IF(AND(FALSE,NOT(LEN(TRIM(D11))&gt;0)),"Explain why",IF(LEN(TRIM(C11))&gt;0,"Answered",IF(OR(LOWER(TRIM('10 Decisions and legal support'!$C$10&amp;""))="yes",LOWER(TRIM('10 Decisions and legal support'!$C$10&amp;""))="yes"),"Needs answer","Optional")))))</f>
        <v>Not applicable</v>
      </c>
    </row>
    <row r="12" ht="34" customHeight="1">
      <c r="A12" s="3" t="str">
        <v>arrest_history</v>
      </c>
      <c r="B12" s="13" t="str">
        <v>History of arrest</v>
      </c>
      <c r="C12" t="str" s="50"/>
      <c r="D12" t="str" s="48"/>
      <c r="E12" s="16" t="str">
        <f>IF(NOT(TRUE),IF(OR(LEN(TRIM(C12))&gt;0,LEN(TRIM(D12))&gt;0),"Review previous answer","Not applicable"),IF(AND(LEN(TRIM(D12))&gt;0,NOT(OR(LOWER(TRIM(C12))="unable to assess",C12="unable_to_assess"))),"Review previous reason",IF(AND(OR(LOWER(TRIM(C12))="unable to assess",C12="unable_to_assess"),NOT(LEN(TRIM(D12))&gt;0)),"Explain why",IF(LEN(TRIM(C12))&gt;0,"Answered",IF(TRUE,"Needs answer","Optional")))))</f>
        <v>Needs answer</v>
      </c>
    </row>
    <row r="13" ht="39" customHeight="1">
      <c r="A13" s="3" t="str">
        <v>most_recent_arrest_date</v>
      </c>
      <c r="B13" s="21" t="inlineStr">
        <is>
          <r>
            <rPr>
              <b/>
              <sz val="12"/>
              <color rgb="FF233B32"/>
            </rPr>
            <t>Most recent arrest date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3" t="str" s="51"/>
      <c r="D13" t="str" s="48"/>
      <c r="E13" s="16" t="str">
        <f>IF(NOT(AND(OR(LOWER(TRIM('10 Decisions and legal support'!$C$12&amp;""))="yes",LOWER(TRIM('10 Decisions and legal support'!$C$12&amp;""))="yes"))),IF(OR(LEN(TRIM(C13))&gt;0,LEN(TRIM(D13))&gt;0),"Review previous answer","Not applicable"),IF(AND(LEN(TRIM(D13))&gt;0,NOT(FALSE)),"Review previous reason",IF(AND(FALSE,NOT(LEN(TRIM(D13))&gt;0)),"Explain why",IF(LEN(TRIM(C13))&gt;0,"Answered",IF(OR(LOWER(TRIM('10 Decisions and legal support'!$C$12&amp;""))="yes",LOWER(TRIM('10 Decisions and legal support'!$C$12&amp;""))="yes"),"Needs answer","Optional")))))</f>
        <v>Not applicable</v>
      </c>
    </row>
    <row r="14" ht="39" customHeight="1">
      <c r="A14" s="3" t="str">
        <v>most_recent_arrest_charge</v>
      </c>
      <c r="B14" s="21" t="inlineStr">
        <is>
          <r>
            <rPr>
              <b/>
              <sz val="12"/>
              <color rgb="FF233B32"/>
            </rPr>
            <t>Most recent arrest charge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4" t="str" s="50"/>
      <c r="D14" t="str" s="48"/>
      <c r="E14" s="16" t="str">
        <f>IF(NOT(AND(OR(LOWER(TRIM('10 Decisions and legal support'!$C$12&amp;""))="yes",LOWER(TRIM('10 Decisions and legal support'!$C$12&amp;""))="yes"))),IF(OR(LEN(TRIM(C14))&gt;0,LEN(TRIM(D14))&gt;0),"Review previous answer","Not applicable"),IF(AND(LEN(TRIM(D14))&gt;0,NOT(FALSE)),"Review previous reason",IF(AND(FALSE,NOT(LEN(TRIM(D14))&gt;0)),"Explain why",IF(LEN(TRIM(C14))&gt;0,"Answered",IF(OR(LOWER(TRIM('10 Decisions and legal support'!$C$12&amp;""))="yes",LOWER(TRIM('10 Decisions and legal support'!$C$12&amp;""))="yes"),"Needs answer","Optional")))))</f>
        <v>Not applicable</v>
      </c>
    </row>
    <row r="15" ht="39" customHeight="1">
      <c r="A15" s="3" t="str">
        <v>most_recent_arrest_jail_time</v>
      </c>
      <c r="B15" s="21" t="inlineStr">
        <is>
          <r>
            <rPr>
              <b/>
              <sz val="12"/>
              <color rgb="FF233B32"/>
            </rPr>
            <t>Time in jail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5" t="str" s="50"/>
      <c r="D15" t="str" s="48"/>
      <c r="E15" s="16" t="str">
        <f>IF(NOT(AND(OR(LOWER(TRIM('10 Decisions and legal support'!$C$12&amp;""))="yes",LOWER(TRIM('10 Decisions and legal support'!$C$12&amp;""))="yes"))),IF(OR(LEN(TRIM(C15))&gt;0,LEN(TRIM(D15))&gt;0),"Review previous answer","Not applicable"),IF(AND(LEN(TRIM(D15))&gt;0,NOT(FALSE)),"Review previous reason",IF(AND(FALSE,NOT(LEN(TRIM(D15))&gt;0)),"Explain why",IF(LEN(TRIM(C15))&gt;0,"Answered",IF(FALSE,"Needs answer","Optional")))))</f>
        <v>Not applicable</v>
      </c>
    </row>
    <row r="16" ht="39" customHeight="1">
      <c r="A16" s="3" t="str">
        <v>arrest_in_last_two_years</v>
      </c>
      <c r="B16" s="21" t="inlineStr">
        <is>
          <r>
            <rPr>
              <b/>
              <sz val="12"/>
              <color rgb="FF233B32"/>
            </rPr>
            <t>Arrest in the last two years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6" t="str" s="50"/>
      <c r="D16" t="str" s="48"/>
      <c r="E16" s="16" t="str">
        <f>IF(NOT(AND(OR(LOWER(TRIM('10 Decisions and legal support'!$C$12&amp;""))="yes",LOWER(TRIM('10 Decisions and legal support'!$C$12&amp;""))="yes"))),IF(OR(LEN(TRIM(C16))&gt;0,LEN(TRIM(D16))&gt;0),"Review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why",IF(LEN(TRIM(C16))&gt;0,"Answered",IF(OR(LOWER(TRIM('10 Decisions and legal support'!$C$12&amp;""))="yes",LOWER(TRIM('10 Decisions and legal support'!$C$12&amp;""))="yes"),"Needs answer","Optional")))))</f>
        <v>Not applicable</v>
      </c>
    </row>
    <row r="17" ht="72" customHeight="1">
      <c r="A17" s="3" t="str">
        <v>arrest_last_two_years_details</v>
      </c>
      <c r="B17" s="21" t="inlineStr">
        <is>
          <r>
            <rPr>
              <b/>
              <sz val="12"/>
              <color rgb="FF233B32"/>
            </rPr>
            <t>Recent arrest details</t>
          </r>
          <r>
            <rPr>
              <b val="0"/>
              <sz val="10"/>
              <color rgb="FF59675F"/>
            </rPr>
            <t xml:space="preserve">
Only if Arrest in the last two years is Yes.</t>
          </r>
        </is>
      </c>
      <c r="C17" t="str" s="50"/>
      <c r="D17" t="str" s="48"/>
      <c r="E17" s="16" t="str">
        <f>IF(NOT(AND(OR(LOWER(TRIM('10 Decisions and legal support'!$C$16&amp;""))="yes",LOWER(TRIM('10 Decisions and legal support'!$C$16&amp;""))="yes"),OR(LOWER(TRIM('10 Decisions and legal support'!$C$12&amp;""))="yes",LOWER(TRIM('10 Decisions and legal support'!$C$12&amp;""))="yes"))),IF(OR(LEN(TRIM(C17))&gt;0,LEN(TRIM(D17))&gt;0),"Review previous answer","Not applicable"),IF(AND(LEN(TRIM(D17))&gt;0,NOT(FALSE)),"Review previous reason",IF(AND(FALSE,NOT(LEN(TRIM(D17))&gt;0)),"Explain why",IF(LEN(TRIM(C17))&gt;0,"Answered",IF(OR(LOWER(TRIM('10 Decisions and legal support'!$C$16&amp;""))="yes",LOWER(TRIM('10 Decisions and legal support'!$C$16&amp;""))="yes"),"Needs answer","Optional")))))</f>
        <v>Not applicable</v>
      </c>
    </row>
    <row r="18" ht="39" customHeight="1">
      <c r="A18" s="3" t="str">
        <v>total_arrests</v>
      </c>
      <c r="B18" s="21" t="inlineStr">
        <is>
          <r>
            <rPr>
              <b/>
              <sz val="12"/>
              <color rgb="FF233B32"/>
            </rPr>
            <t>Total recorded arrests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8" t="str" s="58"/>
      <c r="D18" t="str" s="48"/>
      <c r="E18" s="16" t="str">
        <f>IF(NOT(AND(OR(LOWER(TRIM('10 Decisions and legal support'!$C$12&amp;""))="yes",LOWER(TRIM('10 Decisions and legal support'!$C$12&amp;""))="yes"))),IF(OR(LEN(TRIM(C18))&gt;0,LEN(TRIM(D18))&gt;0),"Review previous answer","Not applicable"),IF(AND(LEN(TRIM(D18))&gt;0,NOT(FALSE)),"Review previous reason",IF(AND(FALSE,NOT(LEN(TRIM(D18))&gt;0)),"Explain why",IF(LEN(TRIM(C18))&gt;0,"Answered",IF(OR(LOWER(TRIM('10 Decisions and legal support'!$C$12&amp;""))="yes",LOWER(TRIM('10 Decisions and legal support'!$C$12&amp;""))="yes"),"Needs answer","Optional")))))</f>
        <v>Not applicable</v>
      </c>
    </row>
    <row r="19" ht="34" customHeight="1">
      <c r="A19" s="3" t="str">
        <v>pc290_registration</v>
      </c>
      <c r="B19" s="13" t="str">
        <v>PC 290 registration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arson_history</v>
      </c>
      <c r="B20" s="13" t="str">
        <v>Arson history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diversion_client</v>
      </c>
      <c r="B21" s="13" t="str">
        <v>Diversion client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72" customHeight="1">
      <c r="A22" s="3" t="str">
        <v>court_requirements</v>
      </c>
      <c r="B22" s="13" t="str">
        <v>Court requirements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72" customHeight="1">
      <c r="A23" s="3" t="str">
        <v>court_dates</v>
      </c>
      <c r="B23" s="13" t="str">
        <v>Court dates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72" customHeight="1">
      <c r="A24" s="3" t="str">
        <v>probation_parole_justice</v>
      </c>
      <c r="B24" s="13" t="str">
        <v>Probation / parole / justice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83" priority="1">
      <formula>$E6="Not applicable"</formula>
    </cfRule>
  </conditionalFormatting>
  <conditionalFormatting sqref="E6:E6">
    <cfRule type="expression" dxfId="284" priority="2">
      <formula>OR($E6="Needs answer",$E6="Explain why",LEFT($E6,6)="Review")</formula>
    </cfRule>
  </conditionalFormatting>
  <conditionalFormatting sqref="B7:E7">
    <cfRule type="expression" dxfId="285" priority="3">
      <formula>$E7="Not applicable"</formula>
    </cfRule>
  </conditionalFormatting>
  <conditionalFormatting sqref="E7:E7">
    <cfRule type="expression" dxfId="286" priority="4">
      <formula>OR($E7="Needs answer",$E7="Explain why",LEFT($E7,6)="Review")</formula>
    </cfRule>
  </conditionalFormatting>
  <conditionalFormatting sqref="B8:E8">
    <cfRule type="expression" dxfId="287" priority="5">
      <formula>$E8="Not applicable"</formula>
    </cfRule>
  </conditionalFormatting>
  <conditionalFormatting sqref="E8:E8">
    <cfRule type="expression" dxfId="288" priority="6">
      <formula>OR($E8="Needs answer",$E8="Explain why",LEFT($E8,6)="Review")</formula>
    </cfRule>
  </conditionalFormatting>
  <conditionalFormatting sqref="B9:E9">
    <cfRule type="expression" dxfId="289" priority="7">
      <formula>$E9="Not applicable"</formula>
    </cfRule>
  </conditionalFormatting>
  <conditionalFormatting sqref="E9:E9">
    <cfRule type="expression" dxfId="290" priority="8">
      <formula>OR($E9="Needs answer",$E9="Explain why",LEFT($E9,6)="Review")</formula>
    </cfRule>
  </conditionalFormatting>
  <conditionalFormatting sqref="B10:E10">
    <cfRule type="expression" dxfId="291" priority="9">
      <formula>$E10="Not applicable"</formula>
    </cfRule>
  </conditionalFormatting>
  <conditionalFormatting sqref="E10:E10">
    <cfRule type="expression" dxfId="292" priority="10">
      <formula>OR($E10="Needs answer",$E10="Explain why",LEFT($E10,6)="Review")</formula>
    </cfRule>
  </conditionalFormatting>
  <conditionalFormatting sqref="D10:D10">
    <cfRule type="expression" dxfId="293" priority="11">
      <formula>OR($C10="Unable to assess",$C10="unable_to_assess")</formula>
    </cfRule>
  </conditionalFormatting>
  <conditionalFormatting sqref="B11:E11">
    <cfRule type="expression" dxfId="294" priority="12">
      <formula>$E11="Not applicable"</formula>
    </cfRule>
  </conditionalFormatting>
  <conditionalFormatting sqref="E11:E11">
    <cfRule type="expression" dxfId="295" priority="13">
      <formula>OR($E11="Needs answer",$E11="Explain why",LEFT($E11,6)="Review")</formula>
    </cfRule>
  </conditionalFormatting>
  <conditionalFormatting sqref="B12:E12">
    <cfRule type="expression" dxfId="296" priority="14">
      <formula>$E12="Not applicable"</formula>
    </cfRule>
  </conditionalFormatting>
  <conditionalFormatting sqref="E12:E12">
    <cfRule type="expression" dxfId="297" priority="15">
      <formula>OR($E12="Needs answer",$E12="Explain why",LEFT($E12,6)="Review")</formula>
    </cfRule>
  </conditionalFormatting>
  <conditionalFormatting sqref="D12:D12">
    <cfRule type="expression" dxfId="298" priority="16">
      <formula>OR($C12="Unable to assess",$C12="unable_to_assess")</formula>
    </cfRule>
  </conditionalFormatting>
  <conditionalFormatting sqref="B13:E13">
    <cfRule type="expression" dxfId="299" priority="17">
      <formula>$E13="Not applicable"</formula>
    </cfRule>
  </conditionalFormatting>
  <conditionalFormatting sqref="E13:E13">
    <cfRule type="expression" dxfId="300" priority="18">
      <formula>OR($E13="Needs answer",$E13="Explain why",LEFT($E13,6)="Review")</formula>
    </cfRule>
  </conditionalFormatting>
  <conditionalFormatting sqref="B14:E14">
    <cfRule type="expression" dxfId="301" priority="19">
      <formula>$E14="Not applicable"</formula>
    </cfRule>
  </conditionalFormatting>
  <conditionalFormatting sqref="E14:E14">
    <cfRule type="expression" dxfId="302" priority="20">
      <formula>OR($E14="Needs answer",$E14="Explain why",LEFT($E14,6)="Review")</formula>
    </cfRule>
  </conditionalFormatting>
  <conditionalFormatting sqref="B15:E15">
    <cfRule type="expression" dxfId="303" priority="21">
      <formula>$E15="Not applicable"</formula>
    </cfRule>
  </conditionalFormatting>
  <conditionalFormatting sqref="E15:E15">
    <cfRule type="expression" dxfId="304" priority="22">
      <formula>OR($E15="Needs answer",$E15="Explain why",LEFT($E15,6)="Review")</formula>
    </cfRule>
  </conditionalFormatting>
  <conditionalFormatting sqref="B16:E16">
    <cfRule type="expression" dxfId="305" priority="23">
      <formula>$E16="Not applicable"</formula>
    </cfRule>
  </conditionalFormatting>
  <conditionalFormatting sqref="E16:E16">
    <cfRule type="expression" dxfId="306" priority="24">
      <formula>OR($E16="Needs answer",$E16="Explain why",LEFT($E16,6)="Review")</formula>
    </cfRule>
  </conditionalFormatting>
  <conditionalFormatting sqref="D16:D16">
    <cfRule type="expression" dxfId="307" priority="25">
      <formula>OR($C16="Unable to assess",$C16="unable_to_assess")</formula>
    </cfRule>
  </conditionalFormatting>
  <conditionalFormatting sqref="B17:E17">
    <cfRule type="expression" dxfId="308" priority="26">
      <formula>$E17="Not applicable"</formula>
    </cfRule>
  </conditionalFormatting>
  <conditionalFormatting sqref="E17:E17">
    <cfRule type="expression" dxfId="309" priority="27">
      <formula>OR($E17="Needs answer",$E17="Explain why",LEFT($E17,6)="Review")</formula>
    </cfRule>
  </conditionalFormatting>
  <conditionalFormatting sqref="B18:E18">
    <cfRule type="expression" dxfId="310" priority="28">
      <formula>$E18="Not applicable"</formula>
    </cfRule>
  </conditionalFormatting>
  <conditionalFormatting sqref="E18:E18">
    <cfRule type="expression" dxfId="311" priority="29">
      <formula>OR($E18="Needs answer",$E18="Explain why",LEFT($E18,6)="Review")</formula>
    </cfRule>
  </conditionalFormatting>
  <conditionalFormatting sqref="B19:E19">
    <cfRule type="expression" dxfId="312" priority="30">
      <formula>$E19="Not applicable"</formula>
    </cfRule>
  </conditionalFormatting>
  <conditionalFormatting sqref="E19:E19">
    <cfRule type="expression" dxfId="313" priority="31">
      <formula>OR($E19="Needs answer",$E19="Explain why",LEFT($E19,6)="Review")</formula>
    </cfRule>
  </conditionalFormatting>
  <conditionalFormatting sqref="D19:D19">
    <cfRule type="expression" dxfId="314" priority="32">
      <formula>OR($C19="Unable to assess",$C19="unable_to_assess")</formula>
    </cfRule>
  </conditionalFormatting>
  <conditionalFormatting sqref="B20:E20">
    <cfRule type="expression" dxfId="315" priority="33">
      <formula>$E20="Not applicable"</formula>
    </cfRule>
  </conditionalFormatting>
  <conditionalFormatting sqref="E20:E20">
    <cfRule type="expression" dxfId="316" priority="34">
      <formula>OR($E20="Needs answer",$E20="Explain why",LEFT($E20,6)="Review")</formula>
    </cfRule>
  </conditionalFormatting>
  <conditionalFormatting sqref="D20:D20">
    <cfRule type="expression" dxfId="317" priority="35">
      <formula>OR($C20="Unable to assess",$C20="unable_to_assess")</formula>
    </cfRule>
  </conditionalFormatting>
  <conditionalFormatting sqref="B21:E21">
    <cfRule type="expression" dxfId="318" priority="36">
      <formula>$E21="Not applicable"</formula>
    </cfRule>
  </conditionalFormatting>
  <conditionalFormatting sqref="E21:E21">
    <cfRule type="expression" dxfId="319" priority="37">
      <formula>OR($E21="Needs answer",$E21="Explain why",LEFT($E21,6)="Review")</formula>
    </cfRule>
  </conditionalFormatting>
  <conditionalFormatting sqref="D21:D21">
    <cfRule type="expression" dxfId="320" priority="38">
      <formula>OR($C21="Unable to assess",$C21="unable_to_assess")</formula>
    </cfRule>
  </conditionalFormatting>
  <conditionalFormatting sqref="B22:E22">
    <cfRule type="expression" dxfId="321" priority="39">
      <formula>$E22="Not applicable"</formula>
    </cfRule>
  </conditionalFormatting>
  <conditionalFormatting sqref="E22:E22">
    <cfRule type="expression" dxfId="322" priority="40">
      <formula>OR($E22="Needs answer",$E22="Explain why",LEFT($E22,6)="Review")</formula>
    </cfRule>
  </conditionalFormatting>
  <conditionalFormatting sqref="B23:E23">
    <cfRule type="expression" dxfId="323" priority="41">
      <formula>$E23="Not applicable"</formula>
    </cfRule>
  </conditionalFormatting>
  <conditionalFormatting sqref="E23:E23">
    <cfRule type="expression" dxfId="324" priority="42">
      <formula>OR($E23="Needs answer",$E23="Explain why",LEFT($E23,6)="Review")</formula>
    </cfRule>
  </conditionalFormatting>
  <conditionalFormatting sqref="B24:E24">
    <cfRule type="expression" dxfId="325" priority="43">
      <formula>$E24="Not applicable"</formula>
    </cfRule>
  </conditionalFormatting>
  <conditionalFormatting sqref="E24:E24">
    <cfRule type="expression" dxfId="326" priority="44">
      <formula>OR($E24="Needs answer",$E24="Explain why",LEFT($E24,6)="Review")</formula>
    </cfRule>
  </conditionalFormatting>
  <dataValidations count="8">
    <dataValidation type="list" sqref="C6">
      <formula1>"LPS,TCon,Murphy's,Non-Conserved"</formula1>
    </dataValidation>
    <dataValidation type="list" sqref="C10">
      <formula1>"Yes,No,Unable to assess"</formula1>
    </dataValidation>
    <dataValidation type="list" sqref="C12">
      <formula1>"Yes,No,Unable to assess"</formula1>
    </dataValidation>
    <dataValidation type="list" sqref="C16">
      <formula1>"Yes,No,Unable to assess"</formula1>
    </dataValidation>
    <dataValidation type="whole" operator="between" sqref="C18">
      <formula1>0</formula1>
      <formula2>10000</formula2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What matters next</v>
      </c>
      <c r="C1" s="4"/>
      <c r="D1" s="5" t="str">
        <v>Section 11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family_involvement</v>
      </c>
      <c r="B6" s="13" t="str">
        <v>Family involvement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friendships_social_connections</v>
      </c>
      <c r="B7" s="13" t="str">
        <v>Friendships and social connections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prior_living_situation</v>
      </c>
      <c r="B8" s="13" t="str">
        <v>Prior living situation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72" customHeight="1">
      <c r="A9" s="3" t="str">
        <v>housing_history</v>
      </c>
      <c r="B9" s="13" t="str">
        <v>Housing history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benefits_income_status</v>
      </c>
      <c r="B10" s="13" t="str">
        <v>Benefits / income status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preferred_facility_characteristics</v>
      </c>
      <c r="B11" s="13" t="str">
        <v>Preferred facility characteristics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discharge_planning_goals</v>
      </c>
      <c r="B12" s="13" t="str">
        <v>Discharge planning goals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72" customHeight="1">
      <c r="A13" s="3" t="str">
        <v>placement_preferences_concerns</v>
      </c>
      <c r="B13" s="13" t="str">
        <v>Placement preferences and concerns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27" priority="1">
      <formula>$E6="Not applicable"</formula>
    </cfRule>
  </conditionalFormatting>
  <conditionalFormatting sqref="E6:E6">
    <cfRule type="expression" dxfId="328" priority="2">
      <formula>OR($E6="Needs answer",$E6="Explain why",LEFT($E6,6)="Review")</formula>
    </cfRule>
  </conditionalFormatting>
  <conditionalFormatting sqref="B7:E7">
    <cfRule type="expression" dxfId="329" priority="3">
      <formula>$E7="Not applicable"</formula>
    </cfRule>
  </conditionalFormatting>
  <conditionalFormatting sqref="E7:E7">
    <cfRule type="expression" dxfId="330" priority="4">
      <formula>OR($E7="Needs answer",$E7="Explain why",LEFT($E7,6)="Review")</formula>
    </cfRule>
  </conditionalFormatting>
  <conditionalFormatting sqref="B8:E8">
    <cfRule type="expression" dxfId="331" priority="5">
      <formula>$E8="Not applicable"</formula>
    </cfRule>
  </conditionalFormatting>
  <conditionalFormatting sqref="E8:E8">
    <cfRule type="expression" dxfId="332" priority="6">
      <formula>OR($E8="Needs answer",$E8="Explain why",LEFT($E8,6)="Review")</formula>
    </cfRule>
  </conditionalFormatting>
  <conditionalFormatting sqref="B9:E9">
    <cfRule type="expression" dxfId="333" priority="7">
      <formula>$E9="Not applicable"</formula>
    </cfRule>
  </conditionalFormatting>
  <conditionalFormatting sqref="E9:E9">
    <cfRule type="expression" dxfId="334" priority="8">
      <formula>OR($E9="Needs answer",$E9="Explain why",LEFT($E9,6)="Review")</formula>
    </cfRule>
  </conditionalFormatting>
  <conditionalFormatting sqref="B10:E10">
    <cfRule type="expression" dxfId="335" priority="9">
      <formula>$E10="Not applicable"</formula>
    </cfRule>
  </conditionalFormatting>
  <conditionalFormatting sqref="E10:E10">
    <cfRule type="expression" dxfId="336" priority="10">
      <formula>OR($E10="Needs answer",$E10="Explain why",LEFT($E10,6)="Review")</formula>
    </cfRule>
  </conditionalFormatting>
  <conditionalFormatting sqref="B11:E11">
    <cfRule type="expression" dxfId="337" priority="11">
      <formula>$E11="Not applicable"</formula>
    </cfRule>
  </conditionalFormatting>
  <conditionalFormatting sqref="E11:E11">
    <cfRule type="expression" dxfId="338" priority="12">
      <formula>OR($E11="Needs answer",$E11="Explain why",LEFT($E11,6)="Review")</formula>
    </cfRule>
  </conditionalFormatting>
  <conditionalFormatting sqref="B12:E12">
    <cfRule type="expression" dxfId="339" priority="13">
      <formula>$E12="Not applicable"</formula>
    </cfRule>
  </conditionalFormatting>
  <conditionalFormatting sqref="E12:E12">
    <cfRule type="expression" dxfId="340" priority="14">
      <formula>OR($E12="Needs answer",$E12="Explain why",LEFT($E12,6)="Review")</formula>
    </cfRule>
  </conditionalFormatting>
  <conditionalFormatting sqref="B13:E13">
    <cfRule type="expression" dxfId="341" priority="15">
      <formula>$E13="Not applicable"</formula>
    </cfRule>
  </conditionalFormatting>
  <conditionalFormatting sqref="E13:E13">
    <cfRule type="expression" dxfId="342" priority="16">
      <formula>OR($E13="Needs answer",$E13="Explain why",LEFT($E13,6)="Review")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Anything else</v>
      </c>
      <c r="C1" s="4"/>
      <c r="D1" s="5" t="str">
        <v>Section 12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additional_information</v>
      </c>
      <c r="B6" s="13" t="str">
        <v>Additional information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placement_process_questions</v>
      </c>
      <c r="B7" s="13" t="str">
        <v>Placement questions or concerns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9" customHeight="1" hidden="1">
      <c r="A8" s="3" t="str">
        <v>unable_to_assess_reasons</v>
      </c>
      <c r="B8" s="21" t="inlineStr">
        <is>
          <r>
            <rPr>
              <b/>
              <sz val="12"/>
              <color rgb="FF233B32"/>
            </rPr>
            <t>Unable-to-assess explanations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39" customHeight="1" hidden="1">
      <c r="A9" s="3" t="str">
        <v>source_file</v>
      </c>
      <c r="B9" s="21" t="inlineStr">
        <is>
          <r>
            <rPr>
              <b/>
              <sz val="12"/>
              <color rgb="FF233B32"/>
            </rPr>
            <t>Source file</t>
          </r>
          <r>
            <rPr>
              <b val="0"/>
              <sz val="10"/>
              <color rgb="FF59675F"/>
            </rPr>
            <t xml:space="preserve">
Reference only.</t>
          </r>
        </is>
      </c>
      <c r="C9" s="23" t="str"/>
      <c r="D9" s="15" t="str"/>
      <c r="E9" s="16" t="str">
        <f>"Reference only"</f>
        <v>Reference only</v>
      </c>
    </row>
    <row r="10" ht="39" customHeight="1" hidden="1">
      <c r="A10" s="3" t="str">
        <v>match_confidence</v>
      </c>
      <c r="B10" s="21" t="inlineStr">
        <is>
          <r>
            <rPr>
              <b/>
              <sz val="12"/>
              <color rgb="FF233B32"/>
            </rPr>
            <t>Match confidence</t>
          </r>
          <r>
            <rPr>
              <b val="0"/>
              <sz val="10"/>
              <color rgb="FF59675F"/>
            </rPr>
            <t xml:space="preserve">
Reference only.</t>
          </r>
        </is>
      </c>
      <c r="C10" s="26" t="str"/>
      <c r="D10" s="15" t="str"/>
      <c r="E10" s="16" t="str">
        <f>"Reference only"</f>
        <v>Reference only</v>
      </c>
    </row>
    <row r="11" ht="34" customHeight="1">
      <c r="A11" s="3" t="str">
        <v>assessment_notes</v>
      </c>
      <c r="B11" s="13" t="str">
        <v>Assessment notes</v>
      </c>
      <c r="C11" t="str" s="50"/>
      <c r="D11" t="str" s="48"/>
      <c r="E11" s="16" t="str">
        <f>IF(NOT(TRUE),IF(OR(LEN(TRIM(C11&amp;""&amp;C12))&gt;0,LEN(TRIM(D11))&gt;0),"Review previous answer","Not applicable"),IF(AND(LEN(TRIM(D11))&gt;0,NOT(FALSE)),"Review previous reason",IF(AND(FALSE,NOT(LEN(TRIM(D11))&gt;0)),"Explain why",IF(LEN(TRIM(C11&amp;""&amp;C12))&gt;0,"Answered",IF(FALSE,"Needs answer","Optional")))))</f>
        <v>Optional</v>
      </c>
    </row>
    <row r="12" ht="88" customHeight="1" hidden="1">
      <c r="A12" s="3" t="str">
        <v>assessment_notes:1</v>
      </c>
      <c r="B12" s="3" t="str">
        <v>Assessment notes (continued)</v>
      </c>
      <c r="C12" t="str" s="57"/>
      <c r="D12" s="3" t="str"/>
      <c r="E12" s="3"/>
    </row>
    <row r="13" ht="39" customHeight="1" hidden="1">
      <c r="A13" s="3" t="str">
        <v>extraction_date</v>
      </c>
      <c r="B13" s="21" t="inlineStr">
        <is>
          <r>
            <rPr>
              <b/>
              <sz val="12"/>
              <color rgb="FF233B32"/>
            </rPr>
            <t>Extraction date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 ht="30" customHeight="1">
      <c r="A16" s="3"/>
      <c r="B16" s="32" t="str">
        <v>Before you upload</v>
      </c>
      <c r="C16" s="32"/>
      <c r="D16" s="32"/>
      <c r="E16" s="32"/>
    </row>
    <row r="17" ht="32" customHeight="1">
      <c r="A17" s="3"/>
      <c r="B17" s="8" t="str">
        <v>Open section</v>
      </c>
      <c r="C17" s="8" t="str">
        <v>Missing answers / explanations</v>
      </c>
      <c r="D17" s="8" t="str">
        <v>Previous details to review</v>
      </c>
      <c r="E17" s="8" t="str"/>
    </row>
    <row r="18" ht="32" customHeight="1">
      <c r="A18" s="3"/>
      <c r="B18" s="28" t="str">
        <v>1. Confirm the basics</v>
      </c>
      <c r="C18" s="31" t="n">
        <f>COUNTIF('01 Confirm the basics'!E6:E16,"Needs answer")+COUNTIF('01 Confirm the basics'!E6:E16,"Explain why")</f>
        <v>8</v>
      </c>
      <c r="D18" s="31" t="n">
        <f>COUNTIF('01 Confirm the basics'!E6:E16,"Review previous answer")+COUNTIF('01 Confirm the basics'!E6:E16,"Review previous reason")</f>
        <v>0</v>
      </c>
      <c r="E18" s="30"/>
    </row>
    <row r="19" ht="32" customHeight="1">
      <c r="A19" s="3"/>
      <c r="B19" s="28" t="str">
        <v>2. How things are now</v>
      </c>
      <c r="C19" s="31" t="n">
        <f>COUNTIF('02 How things are now'!E6:E38,"Needs answer")+COUNTIF('02 How things are now'!E6:E38,"Explain why")</f>
        <v>2</v>
      </c>
      <c r="D19" s="31" t="n">
        <f>COUNTIF('02 How things are now'!E6:E38,"Review previous answer")+COUNTIF('02 How things are now'!E6:E38,"Review previous reason")</f>
        <v>0</v>
      </c>
      <c r="E19" s="30"/>
    </row>
    <row r="20" ht="32" customHeight="1">
      <c r="A20" s="3"/>
      <c r="B20" s="28" t="str">
        <v>3. A usual day</v>
      </c>
      <c r="C20" s="31" t="n">
        <f>COUNTIF('03 A usual day'!E6:E25,"Needs answer")+COUNTIF('03 A usual day'!E6:E25,"Explain why")</f>
        <v>9</v>
      </c>
      <c r="D20" s="31" t="n">
        <f>COUNTIF('03 A usual day'!E6:E25,"Review previous answer")+COUNTIF('03 A usual day'!E6:E25,"Review previous reason")</f>
        <v>0</v>
      </c>
      <c r="E20" s="30"/>
    </row>
    <row r="21" ht="32" customHeight="1">
      <c r="A21" s="3"/>
      <c r="B21" s="28" t="str">
        <v>4. Health and comfort</v>
      </c>
      <c r="C21" s="31" t="n">
        <f>COUNTIF('04 Health and comfort'!E6:E26,"Needs answer")+COUNTIF('04 Health and comfort'!E6:E26,"Explain why")</f>
        <v>14</v>
      </c>
      <c r="D21" s="31" t="n">
        <f>COUNTIF('04 Health and comfort'!E6:E26,"Review previous answer")+COUNTIF('04 Health and comfort'!E6:E26,"Review previous reason")</f>
        <v>0</v>
      </c>
      <c r="E21" s="30"/>
    </row>
    <row r="22" ht="32" customHeight="1">
      <c r="A22" s="3"/>
      <c r="B22" s="28" t="str">
        <v>5. Medication</v>
      </c>
      <c r="C22" s="31" t="n">
        <f>COUNTIF('05 Medication'!E6:E30,"Needs answer")+COUNTIF('05 Medication'!E6:E30,"Explain why")</f>
        <v>2</v>
      </c>
      <c r="D22" s="31" t="n">
        <f>COUNTIF('05 Medication'!E6:E30,"Review previous answer")+COUNTIF('05 Medication'!E6:E30,"Review previous reason")</f>
        <v>0</v>
      </c>
      <c r="E22" s="30"/>
    </row>
    <row r="23" ht="32" customHeight="1">
      <c r="A23" s="3"/>
      <c r="B23" s="28" t="str">
        <v>6. Living situation</v>
      </c>
      <c r="C23" s="31" t="n">
        <f>COUNTIF('06 Living situation'!E6:E9,"Needs answer")+COUNTIF('06 Living situation'!E6:E9,"Explain why")</f>
        <v>0</v>
      </c>
      <c r="D23" s="31" t="n">
        <f>COUNTIF('06 Living situation'!E6:E9,"Review previous answer")+COUNTIF('06 Living situation'!E6:E9,"Review previous reason")</f>
        <v>0</v>
      </c>
      <c r="E23" s="30"/>
    </row>
    <row r="24" ht="32" customHeight="1">
      <c r="A24" s="3"/>
      <c r="B24" s="28" t="str">
        <v>7. Recent care and history</v>
      </c>
      <c r="C24" s="31" t="n">
        <f>COUNTIF('07 Recent care and history'!E6:E11,"Needs answer")+COUNTIF('07 Recent care and history'!E6:E11,"Explain why")</f>
        <v>1</v>
      </c>
      <c r="D24" s="31" t="n">
        <f>COUNTIF('07 Recent care and history'!E6:E11,"Review previous answer")+COUNTIF('07 Recent care and history'!E6:E11,"Review previous reason")</f>
        <v>0</v>
      </c>
      <c r="E24" s="30"/>
    </row>
    <row r="25" ht="32" customHeight="1">
      <c r="A25" s="3"/>
      <c r="B25" s="28" t="str">
        <v>8. Substance use and recovery</v>
      </c>
      <c r="C25" s="31" t="n">
        <f>COUNTIF('08 Substance use and recovery'!E6:E29,"Needs answer")+COUNTIF('08 Substance use and recovery'!E6:E29,"Explain why")</f>
        <v>2</v>
      </c>
      <c r="D25" s="31" t="n">
        <f>COUNTIF('08 Substance use and recovery'!E6:E29,"Review previous answer")+COUNTIF('08 Substance use and recovery'!E6:E29,"Review previous reason")</f>
        <v>0</v>
      </c>
      <c r="E25" s="30"/>
    </row>
    <row r="26" ht="32" customHeight="1">
      <c r="A26" s="3"/>
      <c r="B26" s="28" t="str">
        <v>9. Safety and support</v>
      </c>
      <c r="C26" s="31" t="n">
        <f>COUNTIF('09 Safety and support'!E6:E41,"Needs answer")+COUNTIF('09 Safety and support'!E6:E41,"Explain why")</f>
        <v>5</v>
      </c>
      <c r="D26" s="31" t="n">
        <f>COUNTIF('09 Safety and support'!E6:E41,"Review previous answer")+COUNTIF('09 Safety and support'!E6:E41,"Review previous reason")</f>
        <v>0</v>
      </c>
      <c r="E26" s="30"/>
    </row>
    <row r="27" ht="32" customHeight="1">
      <c r="A27" s="3"/>
      <c r="B27" s="28" t="str">
        <v>10. Decisions and legal support</v>
      </c>
      <c r="C27" s="31" t="n">
        <f>COUNTIF('10 Decisions and legal support'!E6:E24,"Needs answer")+COUNTIF('10 Decisions and legal support'!E6:E24,"Explain why")</f>
        <v>6</v>
      </c>
      <c r="D27" s="31" t="n">
        <f>COUNTIF('10 Decisions and legal support'!E6:E24,"Review previous answer")+COUNTIF('10 Decisions and legal support'!E6:E24,"Review previous reason")</f>
        <v>0</v>
      </c>
      <c r="E27" s="30"/>
    </row>
    <row r="28" ht="32" customHeight="1">
      <c r="A28" s="3"/>
      <c r="B28" s="28" t="str">
        <v>11. What matters next</v>
      </c>
      <c r="C28" s="31" t="n">
        <f>COUNTIF('11 What matters next'!E6:E13,"Needs answer")+COUNTIF('11 What matters next'!E6:E13,"Explain why")</f>
        <v>0</v>
      </c>
      <c r="D28" s="31" t="n">
        <f>COUNTIF('11 What matters next'!E6:E13,"Review previous answer")+COUNTIF('11 What matters next'!E6:E13,"Review previous reason")</f>
        <v>0</v>
      </c>
      <c r="E28" s="30"/>
    </row>
    <row r="29" ht="32" customHeight="1">
      <c r="A29" s="3"/>
      <c r="B29" s="28" t="str">
        <v>12. Anything else</v>
      </c>
      <c r="C29" s="31" t="n">
        <f>COUNTIF('12 Anything else'!E6:E13,"Needs answer")+COUNTIF('12 Anything else'!E6:E13,"Explain why")</f>
        <v>0</v>
      </c>
      <c r="D29" s="31" t="n">
        <f>COUNTIF('12 Anything else'!E6:E13,"Review previous answer")+COUNTIF('12 Anything else'!E6:E13,"Review previous reason")</f>
        <v>0</v>
      </c>
      <c r="E29" s="30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 ht="30" customHeight="1">
      <c r="A32" s="3"/>
      <c r="B32" s="3" t="str">
        <v>1. Open sections with missing answers. Explain anything you could not assess.</v>
      </c>
      <c r="C32" s="3"/>
      <c r="D32" s="3"/>
      <c r="E32" s="3"/>
    </row>
    <row r="33" ht="30" customHeight="1">
      <c r="A33" s="3"/>
      <c r="B33" s="3" t="str">
        <v>2. Review retained details. Keep useful history, or clear it deliberately; nothing is deleted automatically.</v>
      </c>
      <c r="C33" s="3"/>
      <c r="D33" s="3"/>
      <c r="E33" s="3"/>
    </row>
    <row r="34" ht="30" customHeight="1">
      <c r="A34" s="3"/>
      <c r="B34" s="3" t="str">
        <v>3. Save this workbook to approved storage, then drop it into the same assessment in Pipeline.</v>
      </c>
      <c r="C34" s="3"/>
      <c r="D34" s="3"/>
      <c r="E34" s="3"/>
    </row>
    <row r="35" ht="30" customHeight="1">
      <c r="A35" s="3"/>
      <c r="B35" s="3" t="str">
        <v>4. Review the populated preview and commit only the changes you intend. Confirm the save status in Pipeline.</v>
      </c>
      <c r="C35" s="3"/>
      <c r="D35" s="3"/>
      <c r="E35" s="3"/>
    </row>
    <row r="36" ht="30" customHeight="1">
      <c r="A36" s="3"/>
      <c r="B36" s="3" t="str">
        <v>These checks cover answers, not signatures or clinical approval. Review sources and sign only in Pipeline.</v>
      </c>
      <c r="C36" s="3"/>
      <c r="D36" s="3"/>
      <c r="E36" s="3"/>
    </row>
  </sheetData>
  <sheetProtection sheet="1" objects="1" scenarios="1" selectLockedCells="0" selectUnlockedCells="0" formatRows="0"/>
  <mergeCells>
    <mergeCell ref="B1:C1"/>
    <mergeCell ref="D1:E1"/>
    <mergeCell ref="C2:E2"/>
    <mergeCell ref="B3:E3"/>
    <mergeCell ref="B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32:E32"/>
    <mergeCell ref="B33:E33"/>
    <mergeCell ref="B34:E34"/>
    <mergeCell ref="B35:E35"/>
    <mergeCell ref="B36:E36"/>
  </mergeCells>
  <conditionalFormatting sqref="B6:E6">
    <cfRule type="expression" dxfId="343" priority="1">
      <formula>$E6="Not applicable"</formula>
    </cfRule>
  </conditionalFormatting>
  <conditionalFormatting sqref="E6:E6">
    <cfRule type="expression" dxfId="344" priority="2">
      <formula>OR($E6="Needs answer",$E6="Explain why",LEFT($E6,6)="Review")</formula>
    </cfRule>
  </conditionalFormatting>
  <conditionalFormatting sqref="B7:E7">
    <cfRule type="expression" dxfId="345" priority="3">
      <formula>$E7="Not applicable"</formula>
    </cfRule>
  </conditionalFormatting>
  <conditionalFormatting sqref="E7:E7">
    <cfRule type="expression" dxfId="346" priority="4">
      <formula>OR($E7="Needs answer",$E7="Explain why",LEFT($E7,6)="Review")</formula>
    </cfRule>
  </conditionalFormatting>
  <conditionalFormatting sqref="B8:E8">
    <cfRule type="expression" dxfId="347" priority="5">
      <formula>$E8="Not applicable"</formula>
    </cfRule>
  </conditionalFormatting>
  <conditionalFormatting sqref="E8:E8">
    <cfRule type="expression" dxfId="348" priority="6">
      <formula>OR($E8="Needs answer",$E8="Explain why",LEFT($E8,6)="Review")</formula>
    </cfRule>
  </conditionalFormatting>
  <conditionalFormatting sqref="B9:E9">
    <cfRule type="expression" dxfId="349" priority="7">
      <formula>$E9="Not applicable"</formula>
    </cfRule>
  </conditionalFormatting>
  <conditionalFormatting sqref="E9:E9">
    <cfRule type="expression" dxfId="350" priority="8">
      <formula>OR($E9="Needs answer",$E9="Explain why",LEFT($E9,6)="Review")</formula>
    </cfRule>
  </conditionalFormatting>
  <conditionalFormatting sqref="B10:E10">
    <cfRule type="expression" dxfId="351" priority="9">
      <formula>$E10="Not applicable"</formula>
    </cfRule>
  </conditionalFormatting>
  <conditionalFormatting sqref="E10:E10">
    <cfRule type="expression" dxfId="352" priority="10">
      <formula>OR($E10="Needs answer",$E10="Explain why",LEFT($E10,6)="Review")</formula>
    </cfRule>
  </conditionalFormatting>
  <conditionalFormatting sqref="B11:E11">
    <cfRule type="expression" dxfId="353" priority="11">
      <formula>$E11="Not applicable"</formula>
    </cfRule>
  </conditionalFormatting>
  <conditionalFormatting sqref="E11:E11">
    <cfRule type="expression" dxfId="354" priority="12">
      <formula>OR($E11="Needs answer",$E11="Explain why",LEFT($E11,6)="Review")</formula>
    </cfRule>
  </conditionalFormatting>
  <conditionalFormatting sqref="B13:E13">
    <cfRule type="expression" dxfId="355" priority="13">
      <formula>$E13="Not applicable"</formula>
    </cfRule>
  </conditionalFormatting>
  <conditionalFormatting sqref="E13:E13">
    <cfRule type="expression" dxfId="356" priority="14">
      <formula>OR($E13="Needs answer",$E13="Explain why",LEFT($E13,6)="Review")</formula>
    </cfRule>
  </conditionalFormatting>
  <conditionalFormatting sqref="C18:D18">
    <cfRule type="cellIs" dxfId="369" priority="15" operator="greaterThan">
      <formula>0</formula>
    </cfRule>
  </conditionalFormatting>
  <conditionalFormatting sqref="C19:D19">
    <cfRule type="cellIs" dxfId="370" priority="16" operator="greaterThan">
      <formula>0</formula>
    </cfRule>
  </conditionalFormatting>
  <conditionalFormatting sqref="C20:D20">
    <cfRule type="cellIs" dxfId="371" priority="17" operator="greaterThan">
      <formula>0</formula>
    </cfRule>
  </conditionalFormatting>
  <conditionalFormatting sqref="C21:D21">
    <cfRule type="cellIs" dxfId="372" priority="18" operator="greaterThan">
      <formula>0</formula>
    </cfRule>
  </conditionalFormatting>
  <conditionalFormatting sqref="C22:D22">
    <cfRule type="cellIs" dxfId="373" priority="19" operator="greaterThan">
      <formula>0</formula>
    </cfRule>
  </conditionalFormatting>
  <conditionalFormatting sqref="C23:D23">
    <cfRule type="cellIs" dxfId="374" priority="20" operator="greaterThan">
      <formula>0</formula>
    </cfRule>
  </conditionalFormatting>
  <conditionalFormatting sqref="C24:D24">
    <cfRule type="cellIs" dxfId="375" priority="21" operator="greaterThan">
      <formula>0</formula>
    </cfRule>
  </conditionalFormatting>
  <conditionalFormatting sqref="C25:D25">
    <cfRule type="cellIs" dxfId="376" priority="22" operator="greaterThan">
      <formula>0</formula>
    </cfRule>
  </conditionalFormatting>
  <conditionalFormatting sqref="C26:D26">
    <cfRule type="cellIs" dxfId="377" priority="23" operator="greaterThan">
      <formula>0</formula>
    </cfRule>
  </conditionalFormatting>
  <conditionalFormatting sqref="C27:D27">
    <cfRule type="cellIs" dxfId="378" priority="24" operator="greaterThan">
      <formula>0</formula>
    </cfRule>
  </conditionalFormatting>
  <conditionalFormatting sqref="C28:D28">
    <cfRule type="cellIs" dxfId="379" priority="25" operator="greaterThan">
      <formula>0</formula>
    </cfRule>
  </conditionalFormatting>
  <conditionalFormatting sqref="C29:D29">
    <cfRule type="cellIs" dxfId="380" priority="26" operator="greaterThan">
      <formula>0</formula>
    </cfRule>
  </conditionalFormatting>
  <hyperlinks>
    <hyperlink ref="B18" location="'01 Confirm the basics'!B1"/>
    <hyperlink ref="B19" location="'02 How things are now'!B1"/>
    <hyperlink ref="B20" location="'03 A usual day'!B1"/>
    <hyperlink ref="B21" location="'04 Health and comfort'!B1"/>
    <hyperlink ref="B22" location="'05 Medication'!B1"/>
    <hyperlink ref="B23" location="'06 Living situation'!B1"/>
    <hyperlink ref="B24" location="'07 Recent care and history'!B1"/>
    <hyperlink ref="B25" location="'08 Substance use and recovery'!B1"/>
    <hyperlink ref="B26" location="'09 Safety and support'!B1"/>
    <hyperlink ref="B27" location="'10 Decisions and legal support'!B1"/>
    <hyperlink ref="B28" location="'11 What matters next'!B1"/>
    <hyperlink ref="B29" location="'12 Anything else'!B1"/>
  </hyperlinks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90679cc7ae50bccf1ece35ed905f975b61e0b1af883344804bb08d07b0fc4ea8</v>
      </c>
    </row>
    <row r="3">
      <c r="A3" t="str">
        <v>Working copy identity</v>
      </c>
      <c r="B3" t="str"/>
    </row>
    <row r="6">
      <c r="A6" t="str">
        <v>resident_name</v>
      </c>
      <c r="B6" t="str">
        <v>01 Confirm the basics!C6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Confirm the basics!C7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Confirm the basics!C8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Confirm the basics!C9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Confirm the basics!C10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Confirm the basics!C11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Confirm the basics!C12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Confirm the basics!C13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Confirm the basics!C14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Confirm the basics!C15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Confirm the basics!C16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diagnosis_categories</v>
      </c>
      <c r="B17" t="str">
        <v>02 How things are now!C6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diagnosis_other_detail</v>
      </c>
      <c r="B18" t="str">
        <v>02 How things are now!C20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secondary_diagnoses</v>
      </c>
      <c r="B19" t="str">
        <v>02 How things are now!C21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current_symptoms</v>
      </c>
      <c r="B20" t="str">
        <v>02 How things are now!C35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cognition_orientation</v>
      </c>
      <c r="B21" t="str">
        <v>02 How things are now!C36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primary_diagnosis</v>
      </c>
      <c r="B22" t="str">
        <v>02 How things are now!C37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acuity_level</v>
      </c>
      <c r="B23" t="str">
        <v>02 How things are now!C38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dress_assistance_level</v>
      </c>
      <c r="B24" t="str">
        <v>03 A usual day!C6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dress_assistance_details</v>
      </c>
      <c r="B25" t="str">
        <v>03 A usual day!C7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bathing_assistance_level</v>
      </c>
      <c r="B26" t="str">
        <v>03 A usual day!C8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bathing_assistance_details</v>
      </c>
      <c r="B27" t="str">
        <v>03 A usual day!C9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overall_hygiene_rating</v>
      </c>
      <c r="B28" t="str">
        <v>03 A usual day!C10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adl_needs</v>
      </c>
      <c r="B29" t="str">
        <v>03 A usual day!C11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prompting_level</v>
      </c>
      <c r="B30" t="str">
        <v>03 A usual day!C12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self_care_status</v>
      </c>
      <c r="B31" t="str">
        <v>03 A usual day!C13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ambulatory</v>
      </c>
      <c r="B32" t="str">
        <v>03 A usual day!C14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mobility</v>
      </c>
      <c r="B33" t="str">
        <v>03 A usual day!C15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language_barrier</v>
      </c>
      <c r="B34" t="str">
        <v>03 A usual day!C16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language_barrier_details</v>
      </c>
      <c r="B35" t="str">
        <v>03 A usual day!C17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linear_conversation</v>
      </c>
      <c r="B36" t="str">
        <v>03 A usual day!C18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linear_conversation_details</v>
      </c>
      <c r="B37" t="str">
        <v>03 A usual day!C19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peer_interaction_rating</v>
      </c>
      <c r="B38" t="str">
        <v>03 A usual day!C20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peer_interaction_notes</v>
      </c>
      <c r="B39" t="str">
        <v>03 A usual day!C21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staff_interaction_rating</v>
      </c>
      <c r="B40" t="str">
        <v>03 A usual day!C22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staff_interaction_notes</v>
      </c>
      <c r="B41" t="str">
        <v>03 A usual day!C23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participates_in_programming</v>
      </c>
      <c r="B42" t="str">
        <v>03 A usual day!C24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programming_notes</v>
      </c>
      <c r="B43" t="str">
        <v>03 A usual day!C25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physical_health_concerns</v>
      </c>
      <c r="B44" t="str">
        <v>04 Health and comfort!C6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physical_health_diagnoses</v>
      </c>
      <c r="B45" t="str">
        <v>04 Health and comfort!C7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physical_health_measures</v>
      </c>
      <c r="B46" t="str">
        <v>04 Health and comfort!C8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diabetic</v>
      </c>
      <c r="B47" t="str">
        <v>04 Health and comfort!C9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diabetic_details</v>
      </c>
      <c r="B48" t="str">
        <v>04 Health and comfort!C10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special_diet</v>
      </c>
      <c r="B49" t="str">
        <v>04 Health and comfort!C11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special_diet_details</v>
      </c>
      <c r="B50" t="str">
        <v>04 Health and comfort!C12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skin_integrity_issue</v>
      </c>
      <c r="B51" t="str">
        <v>04 Health and comfort!C13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skin_integrity_details</v>
      </c>
      <c r="B52" t="str">
        <v>04 Health and comfort!C14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uses_dentures</v>
      </c>
      <c r="B53" t="str">
        <v>04 Health and comfort!C15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uses_hearing_aids</v>
      </c>
      <c r="B54" t="str">
        <v>04 Health and comfort!C16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uses_glasses</v>
      </c>
      <c r="B55" t="str">
        <v>04 Health and comfort!C17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uses_oxygen</v>
      </c>
      <c r="B56" t="str">
        <v>04 Health and comfort!C18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uses_hospital_bed</v>
      </c>
      <c r="B57" t="str">
        <v>04 Health and comfort!C19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uses_cpap</v>
      </c>
      <c r="B58" t="str">
        <v>04 Health and comfort!C20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catheter_care</v>
      </c>
      <c r="B59" t="str">
        <v>04 Health and comfort!C21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colostomy</v>
      </c>
      <c r="B60" t="str">
        <v>04 Health and comfort!C22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ileostomy</v>
      </c>
      <c r="B61" t="str">
        <v>04 Health and comfort!C23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incontinence_issues</v>
      </c>
      <c r="B62" t="str">
        <v>04 Health and comfort!C24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brief_change_support</v>
      </c>
      <c r="B63" t="str">
        <v>04 Health and comfort!C25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additional_health_notes</v>
      </c>
      <c r="B64" t="str">
        <v>04 Health and comfort!C26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medication_adherence</v>
      </c>
      <c r="B65" t="str">
        <v>05 Medication!C6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last_medication_refusal_date</v>
      </c>
      <c r="B66" t="str">
        <v>05 Medication!C7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medication_refused</v>
      </c>
      <c r="B67" t="str">
        <v>05 Medication!C8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medication_refusals_30_days</v>
      </c>
      <c r="B68" t="str">
        <v>05 Medication!C9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medications_at_intake</v>
      </c>
      <c r="B69" t="str">
        <v>05 Medication!C10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prn_patterns</v>
      </c>
      <c r="B70" t="str">
        <v>05 Medication!C24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im_injections</v>
      </c>
      <c r="B71" t="str">
        <v>05 Medication!C25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im_injections_details</v>
      </c>
      <c r="B72" t="str">
        <v>05 Medication!C26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injection_frequency</v>
      </c>
      <c r="B73" t="str">
        <v>05 Medication!C27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last_injection</v>
      </c>
      <c r="B74" t="str">
        <v>05 Medication!C28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next_injection_due</v>
      </c>
      <c r="B75" t="str">
        <v>05 Medication!C29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lai_vs_oral</v>
      </c>
      <c r="B76" t="str">
        <v>05 Medication!C30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county</v>
      </c>
      <c r="B77" t="str">
        <v>06 Living situation!C6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prior_setting_bucket</v>
      </c>
      <c r="B78" t="str">
        <v>06 Living situation!C7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referring_facility</v>
      </c>
      <c r="B79" t="str">
        <v>06 Living situation!C8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admit_date</v>
      </c>
      <c r="B80" t="str">
        <v>06 Living situation!C9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prior_placements</v>
      </c>
      <c r="B81" t="str">
        <v>07 Recent care and history!C6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prior_awol_failed_placements</v>
      </c>
      <c r="B82" t="str">
        <v>07 Recent care and history!C7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prior_hospitalizations_count</v>
      </c>
      <c r="B83" t="str">
        <v>07 Recent care and history!C8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most_recent_hospitalization</v>
      </c>
      <c r="B84" t="str">
        <v>07 Recent care and history!C9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prior_5150_5250_holds</v>
      </c>
      <c r="B85" t="str">
        <v>07 Recent care and history!C10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crisis_er_utilization</v>
      </c>
      <c r="B86" t="str">
        <v>07 Recent care and history!C11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substance_abuse_history</v>
      </c>
      <c r="B87" t="str">
        <v>08 Substance use and recovery!C6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active_substance_use</v>
      </c>
      <c r="B88" t="str">
        <v>08 Substance use and recovery!C7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substances</v>
      </c>
      <c r="B89" t="str">
        <v>08 Substance use and recovery!C8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last_substance_use_date</v>
      </c>
      <c r="B90" t="str">
        <v>08 Substance use and recovery!C22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use_pattern</v>
      </c>
      <c r="B91" t="str">
        <v>08 Substance use and recovery!C23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substance_effect_on_baseline</v>
      </c>
      <c r="B92" t="str">
        <v>08 Substance use and recovery!C24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longest_sobriety_period</v>
      </c>
      <c r="B93" t="str">
        <v>08 Substance use and recovery!C25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substance_use_insight</v>
      </c>
      <c r="B94" t="str">
        <v>08 Substance use and recovery!C26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substance_use_insight_details</v>
      </c>
      <c r="B95" t="str">
        <v>08 Substance use and recovery!C27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treatment_history</v>
      </c>
      <c r="B96" t="str">
        <v>08 Substance use and recovery!C28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longest_sobriety_months</v>
      </c>
      <c r="B97" t="str">
        <v>08 Substance use and recovery!C29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behavioral_history</v>
      </c>
      <c r="B98" t="str">
        <v>09 Safety and support!C6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physical_altercations</v>
      </c>
      <c r="B99" t="str">
        <v>09 Safety and support!C7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physical_altercation_details</v>
      </c>
      <c r="B100" t="str">
        <v>09 Safety and support!C8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self_harm_history</v>
      </c>
      <c r="B101" t="str">
        <v>09 Safety and support!C9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last_self_harm_incident</v>
      </c>
      <c r="B102" t="str">
        <v>09 Safety and support!C10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current_self_harm_ideation</v>
      </c>
      <c r="B103" t="str">
        <v>09 Safety and support!C11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current_self_harm_details</v>
      </c>
      <c r="B104" t="str">
        <v>09 Safety and support!C12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current_safety_measures</v>
      </c>
      <c r="B105" t="str">
        <v>09 Safety and support!C13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assault_history</v>
      </c>
      <c r="B106" t="str">
        <v>09 Safety and support!C14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last_assault_details</v>
      </c>
      <c r="B107" t="str">
        <v>09 Safety and support!C15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assaults_last_two_years_count</v>
      </c>
      <c r="B108" t="str">
        <v>09 Safety and support!C16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elopement_history</v>
      </c>
      <c r="B109" t="str">
        <v>09 Safety and support!C17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elopement_risk</v>
      </c>
      <c r="B110" t="str">
        <v>09 Safety and support!C18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si_hi_history</v>
      </c>
      <c r="B111" t="str">
        <v>09 Safety and support!C19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triggers</v>
      </c>
      <c r="B112" t="str">
        <v>09 Safety and support!C20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aggression_risk</v>
      </c>
      <c r="B113" t="str">
        <v>09 Safety and support!C21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responds_to_internal_stimuli</v>
      </c>
      <c r="B114" t="str">
        <v>09 Safety and support!C22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auditory_hallucinations</v>
      </c>
      <c r="B115" t="str">
        <v>09 Safety and support!C23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auditory_hallucination_nature</v>
      </c>
      <c r="B116" t="str">
        <v>09 Safety and support!C24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auditory_hallucination_frequency</v>
      </c>
      <c r="B117" t="str">
        <v>09 Safety and support!C25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auditory_hallucination_triggers</v>
      </c>
      <c r="B118" t="str">
        <v>09 Safety and support!C26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visual_hallucinations</v>
      </c>
      <c r="B119" t="str">
        <v>09 Safety and support!C27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visual_hallucination_details</v>
      </c>
      <c r="B120" t="str">
        <v>09 Safety and support!C28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visual_hallucination_recent</v>
      </c>
      <c r="B121" t="str">
        <v>09 Safety and support!C29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olfactory_hallucinations</v>
      </c>
      <c r="B122" t="str">
        <v>09 Safety and support!C30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olfactory_hallucination_details</v>
      </c>
      <c r="B123" t="str">
        <v>09 Safety and support!C31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olfactory_hallucination_impact</v>
      </c>
      <c r="B124" t="str">
        <v>09 Safety and support!C32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tactile_hallucinations</v>
      </c>
      <c r="B125" t="str">
        <v>09 Safety and support!C33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tactile_hallucination_details</v>
      </c>
      <c r="B126" t="str">
        <v>09 Safety and support!C34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tactile_hallucination_frequency</v>
      </c>
      <c r="B127" t="str">
        <v>09 Safety and support!C35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gustatory_hallucinations</v>
      </c>
      <c r="B128" t="str">
        <v>09 Safety and support!C36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gustatory_hallucination_details</v>
      </c>
      <c r="B129" t="str">
        <v>09 Safety and support!C37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hallucination_coping_strategies</v>
      </c>
      <c r="B130" t="str">
        <v>09 Safety and support!C38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hallucination_distress_impairment</v>
      </c>
      <c r="B131" t="str">
        <v>09 Safety and support!C39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hallucination_functional_impact</v>
      </c>
      <c r="B132" t="str">
        <v>09 Safety and support!C40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hallucination_treatment_history</v>
      </c>
      <c r="B133" t="str">
        <v>09 Safety and support!C41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conservatorship_type</v>
      </c>
      <c r="B134" t="str">
        <v>10 Decisions and legal support!C6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conservator_name</v>
      </c>
      <c r="B135" t="str">
        <v>10 Decisions and legal support!C7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conservatorship_status</v>
      </c>
      <c r="B136" t="str">
        <v>10 Decisions and legal support!C8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hold_type</v>
      </c>
      <c r="B137" t="str">
        <v>10 Decisions and legal support!C9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forensic_involvement</v>
      </c>
      <c r="B138" t="str">
        <v>10 Decisions and legal support!C10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forensic_involvement_details</v>
      </c>
      <c r="B139" t="str">
        <v>10 Decisions and legal support!C11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arrest_history</v>
      </c>
      <c r="B140" t="str">
        <v>10 Decisions and legal support!C12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most_recent_arrest_date</v>
      </c>
      <c r="B141" t="str">
        <v>10 Decisions and legal support!C13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most_recent_arrest_charge</v>
      </c>
      <c r="B142" t="str">
        <v>10 Decisions and legal support!C14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most_recent_arrest_jail_time</v>
      </c>
      <c r="B143" t="str">
        <v>10 Decisions and legal support!C15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arrest_in_last_two_years</v>
      </c>
      <c r="B144" t="str">
        <v>10 Decisions and legal support!C16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arrest_last_two_years_details</v>
      </c>
      <c r="B145" t="str">
        <v>10 Decisions and legal support!C17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total_arrests</v>
      </c>
      <c r="B146" t="str">
        <v>10 Decisions and legal support!C18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pc290_registration</v>
      </c>
      <c r="B147" t="str">
        <v>10 Decisions and legal support!C19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arson_history</v>
      </c>
      <c r="B148" t="str">
        <v>10 Decisions and legal support!C20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diversion_client</v>
      </c>
      <c r="B149" t="str">
        <v>10 Decisions and legal support!C21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court_requirements</v>
      </c>
      <c r="B150" t="str">
        <v>10 Decisions and legal support!C22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court_dates</v>
      </c>
      <c r="B151" t="str">
        <v>10 Decisions and legal support!C23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probation_parole_justice</v>
      </c>
      <c r="B152" t="str">
        <v>10 Decisions and legal support!C24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family_involvement</v>
      </c>
      <c r="B153" t="str">
        <v>11 What matters next!C6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friendships_social_connections</v>
      </c>
      <c r="B154" t="str">
        <v>11 What matters next!C7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prior_living_situation</v>
      </c>
      <c r="B155" t="str">
        <v>11 What matters next!C8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housing_history</v>
      </c>
      <c r="B156" t="str">
        <v>11 What matters next!C9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benefits_income_status</v>
      </c>
      <c r="B157" t="str">
        <v>11 What matters next!C10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preferred_facility_characteristics</v>
      </c>
      <c r="B158" t="str">
        <v>11 What matters next!C11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discharge_planning_goals</v>
      </c>
      <c r="B159" t="str">
        <v>11 What matters next!C12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placement_preferences_concerns</v>
      </c>
      <c r="B160" t="str">
        <v>11 What matters next!C13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additional_information</v>
      </c>
      <c r="B161" t="str">
        <v>12 Anything else!C6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placement_process_questions</v>
      </c>
      <c r="B162" t="str">
        <v>12 Anything else!C7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unable_to_assess_reasons</v>
      </c>
      <c r="B163" t="str">
        <v>12 Anything else!C8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source_file</v>
      </c>
      <c r="B164" t="str">
        <v>12 Anything else!C9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match_confidence</v>
      </c>
      <c r="B165" t="str">
        <v>12 Anything else!C10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assessment_notes</v>
      </c>
      <c r="B166" t="str">
        <v>12 Anything else!C11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extraction_date</v>
      </c>
      <c r="B167" t="str">
        <v>12 Anything else!C13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35" hidden="0" customWidth="1"/>
    <col min="5" max="5" width="19" hidden="0" customWidth="1"/>
  </cols>
  <sheetData>
    <row r="1" ht="30" customHeight="1">
      <c r="A1" s="3"/>
      <c r="B1" s="4" t="str">
        <v>Answer reference</v>
      </c>
      <c r="C1" s="4"/>
      <c r="D1" s="4"/>
      <c r="E1" s="4"/>
    </row>
    <row r="2" ht="24" customHeight="1">
      <c r="A2" s="3"/>
      <c r="B2" s="3"/>
      <c r="C2" s="3"/>
      <c r="D2" s="3"/>
      <c r="E2" s="3"/>
    </row>
    <row r="3" ht="25" customHeight="1">
      <c r="A3" s="3"/>
      <c r="B3" s="8" t="str">
        <v>Question</v>
      </c>
      <c r="C3" s="8" t="str">
        <v>What to enter</v>
      </c>
      <c r="D3" s="8" t="str">
        <v>Section</v>
      </c>
      <c r="E3" s="3"/>
    </row>
    <row r="4">
      <c r="A4" s="3"/>
      <c r="B4" s="3"/>
      <c r="C4" s="3"/>
      <c r="D4" s="3"/>
      <c r="E4" s="3"/>
    </row>
    <row r="5" ht="34" customHeight="1">
      <c r="A5" s="3"/>
      <c r="B5" s="29" t="str">
        <v>Resident name</v>
      </c>
      <c r="C5" s="29" t="str">
        <v>Text or notes</v>
      </c>
      <c r="D5" s="29" t="str">
        <v>01 Confirm the basics</v>
      </c>
      <c r="E5" s="3"/>
    </row>
    <row r="6" ht="34" customHeight="1">
      <c r="A6" s="3"/>
      <c r="B6" s="29" t="str">
        <v>Date of birth</v>
      </c>
      <c r="C6" s="29" t="str">
        <v>Date (YYYY-MM-DD)</v>
      </c>
      <c r="D6" s="29" t="str">
        <v>01 Confirm the basics</v>
      </c>
      <c r="E6" s="3"/>
    </row>
    <row r="7" ht="34" customHeight="1">
      <c r="A7" s="3"/>
      <c r="B7" s="29" t="str">
        <v>Community</v>
      </c>
      <c r="C7" s="29" t="str">
        <v>Text or notes</v>
      </c>
      <c r="D7" s="29" t="str">
        <v>01 Confirm the basics</v>
      </c>
      <c r="E7" s="3"/>
    </row>
    <row r="8" ht="34" customHeight="1">
      <c r="A8" s="3"/>
      <c r="B8" s="29" t="str">
        <v>Date assessment performed</v>
      </c>
      <c r="C8" s="29" t="str">
        <v>Date (YYYY-MM-DD)</v>
      </c>
      <c r="D8" s="29" t="str">
        <v>01 Confirm the basics</v>
      </c>
      <c r="E8" s="3"/>
    </row>
    <row r="9" ht="34" customHeight="1">
      <c r="A9" s="3"/>
      <c r="B9" s="29" t="str">
        <v>Date referral received</v>
      </c>
      <c r="C9" s="29" t="str">
        <v>Date (YYYY-MM-DD)</v>
      </c>
      <c r="D9" s="29" t="str">
        <v>01 Confirm the basics</v>
      </c>
      <c r="E9" s="3"/>
    </row>
    <row r="10" ht="34" customHeight="1">
      <c r="A10" s="3"/>
      <c r="B10" s="29" t="str">
        <v>Referrer</v>
      </c>
      <c r="C10" s="29" t="str">
        <v>Text or notes</v>
      </c>
      <c r="D10" s="29" t="str">
        <v>01 Confirm the basics</v>
      </c>
      <c r="E10" s="3"/>
    </row>
    <row r="11" ht="34" customHeight="1">
      <c r="A11" s="3"/>
      <c r="B11" s="29" t="str">
        <v>Referrer contact</v>
      </c>
      <c r="C11" s="29" t="str">
        <v>Text or notes</v>
      </c>
      <c r="D11" s="29" t="str">
        <v>01 Confirm the basics</v>
      </c>
      <c r="E11" s="3"/>
    </row>
    <row r="12" ht="34" customHeight="1">
      <c r="A12" s="3"/>
      <c r="B12" s="29" t="str">
        <v>Current location</v>
      </c>
      <c r="C12" s="29" t="str">
        <v>Text or notes</v>
      </c>
      <c r="D12" s="29" t="str">
        <v>01 Confirm the basics</v>
      </c>
      <c r="E12" s="3"/>
    </row>
    <row r="13" ht="34" customHeight="1">
      <c r="A13" s="3"/>
      <c r="B13" s="29" t="str">
        <v>Time at current location</v>
      </c>
      <c r="C13" s="29" t="str">
        <v>Text or notes</v>
      </c>
      <c r="D13" s="29" t="str">
        <v>01 Confirm the basics</v>
      </c>
      <c r="E13" s="3"/>
    </row>
    <row r="14" ht="34" customHeight="1">
      <c r="A14" s="3"/>
      <c r="B14" s="29" t="str">
        <v>Resident number</v>
      </c>
      <c r="C14" s="29" t="str">
        <v>Text or notes</v>
      </c>
      <c r="D14" s="29" t="str">
        <v>01 Confirm the basics</v>
      </c>
      <c r="E14" s="3"/>
    </row>
    <row r="15" ht="60" customHeight="1">
      <c r="A15" s="3"/>
      <c r="B15" s="29" t="str">
        <v>Diagnosis categories</v>
      </c>
      <c r="C15" s="29" t="str">
        <v>Schizophrenia; Schizoaffective disorder; Bipolar disorder; Personality disorder; Substance use disorder; Psychosis; Delusional disorder; Physical health condition; Other</v>
      </c>
      <c r="D15" s="29" t="str">
        <v>02 How things are now</v>
      </c>
      <c r="E15" s="3"/>
    </row>
    <row r="16" ht="34" customHeight="1">
      <c r="A16" s="3"/>
      <c r="B16" s="29" t="str">
        <v>Other diagnosis</v>
      </c>
      <c r="C16" s="29" t="str">
        <v>Text or notes</v>
      </c>
      <c r="D16" s="29" t="str">
        <v>02 How things are now</v>
      </c>
      <c r="E16" s="3"/>
    </row>
    <row r="17" ht="34" customHeight="1">
      <c r="A17" s="3"/>
      <c r="B17" s="29" t="str">
        <v>Secondary diagnosis</v>
      </c>
      <c r="C17" s="29" t="str">
        <v>One item per line</v>
      </c>
      <c r="D17" s="29" t="str">
        <v>02 How things are now</v>
      </c>
      <c r="E17" s="3"/>
    </row>
    <row r="18" ht="34" customHeight="1">
      <c r="A18" s="3"/>
      <c r="B18" s="29" t="str">
        <v>Current symptoms</v>
      </c>
      <c r="C18" s="29" t="str">
        <v>Text or notes</v>
      </c>
      <c r="D18" s="29" t="str">
        <v>02 How things are now</v>
      </c>
      <c r="E18" s="3"/>
    </row>
    <row r="19" ht="34" customHeight="1">
      <c r="A19" s="3"/>
      <c r="B19" s="29" t="str">
        <v>Cognition / orientation</v>
      </c>
      <c r="C19" s="29" t="str">
        <v>Text or notes</v>
      </c>
      <c r="D19" s="29" t="str">
        <v>02 How things are now</v>
      </c>
      <c r="E19" s="3"/>
    </row>
    <row r="20" ht="34" customHeight="1">
      <c r="A20" s="3"/>
      <c r="B20" s="29" t="str">
        <v>Primary diagnosis</v>
      </c>
      <c r="C20" s="29" t="str">
        <v>Text or notes</v>
      </c>
      <c r="D20" s="29" t="str">
        <v>02 How things are now</v>
      </c>
      <c r="E20" s="3"/>
    </row>
    <row r="21" ht="34" customHeight="1">
      <c r="A21" s="3"/>
      <c r="B21" s="29" t="str">
        <v>Acuity level</v>
      </c>
      <c r="C21" s="29" t="str">
        <v>Text or notes</v>
      </c>
      <c r="D21" s="29" t="str">
        <v>02 How things are now</v>
      </c>
      <c r="E21" s="3"/>
    </row>
    <row r="22" ht="34" customHeight="1">
      <c r="A22" s="3"/>
      <c r="B22" s="29" t="str">
        <v>Ability to dress</v>
      </c>
      <c r="C22" s="29" t="str">
        <v>Independent; Some assistance; Total assistance</v>
      </c>
      <c r="D22" s="29" t="str">
        <v>03 A usual day</v>
      </c>
      <c r="E22" s="3"/>
    </row>
    <row r="23" ht="34" customHeight="1">
      <c r="A23" s="3"/>
      <c r="B23" s="29" t="str">
        <v>Dressing assistance needed</v>
      </c>
      <c r="C23" s="29" t="str">
        <v>Text or notes</v>
      </c>
      <c r="D23" s="29" t="str">
        <v>03 A usual day</v>
      </c>
      <c r="E23" s="3"/>
    </row>
    <row r="24" ht="34" customHeight="1">
      <c r="A24" s="3"/>
      <c r="B24" s="29" t="str">
        <v>Ability to bathe</v>
      </c>
      <c r="C24" s="29" t="str">
        <v>Independent; Some assistance; Total assistance</v>
      </c>
      <c r="D24" s="29" t="str">
        <v>03 A usual day</v>
      </c>
      <c r="E24" s="3"/>
    </row>
    <row r="25" ht="34" customHeight="1">
      <c r="A25" s="3"/>
      <c r="B25" s="29" t="str">
        <v>Bathing assistance needed</v>
      </c>
      <c r="C25" s="29" t="str">
        <v>Text or notes</v>
      </c>
      <c r="D25" s="29" t="str">
        <v>03 A usual day</v>
      </c>
      <c r="E25" s="3"/>
    </row>
    <row r="26" ht="34" customHeight="1">
      <c r="A26" s="3"/>
      <c r="B26" s="29" t="str">
        <v>Overall hygiene</v>
      </c>
      <c r="C26" s="29" t="str">
        <v>Whole number</v>
      </c>
      <c r="D26" s="29" t="str">
        <v>03 A usual day</v>
      </c>
      <c r="E26" s="3"/>
    </row>
    <row r="27" ht="34" customHeight="1">
      <c r="A27" s="3"/>
      <c r="B27" s="29" t="str">
        <v>ADL needs</v>
      </c>
      <c r="C27" s="29" t="str">
        <v>Text or notes</v>
      </c>
      <c r="D27" s="29" t="str">
        <v>03 A usual day</v>
      </c>
      <c r="E27" s="3"/>
    </row>
    <row r="28" ht="34" customHeight="1">
      <c r="A28" s="3"/>
      <c r="B28" s="29" t="str">
        <v>Prompting level</v>
      </c>
      <c r="C28" s="29" t="str">
        <v>Text or notes</v>
      </c>
      <c r="D28" s="29" t="str">
        <v>03 A usual day</v>
      </c>
      <c r="E28" s="3"/>
    </row>
    <row r="29" ht="34" customHeight="1">
      <c r="A29" s="3"/>
      <c r="B29" s="29" t="str">
        <v>Self-care status</v>
      </c>
      <c r="C29" s="29" t="str">
        <v>Text or notes</v>
      </c>
      <c r="D29" s="29" t="str">
        <v>03 A usual day</v>
      </c>
      <c r="E29" s="3"/>
    </row>
    <row r="30" ht="34" customHeight="1">
      <c r="A30" s="3"/>
      <c r="B30" s="29" t="str">
        <v>Ambulatory</v>
      </c>
      <c r="C30" s="29" t="str">
        <v>Yes; No; Unable to assess</v>
      </c>
      <c r="D30" s="29" t="str">
        <v>03 A usual day</v>
      </c>
      <c r="E30" s="3"/>
    </row>
    <row r="31" ht="34" customHeight="1">
      <c r="A31" s="3"/>
      <c r="B31" s="29" t="str">
        <v>Type of device</v>
      </c>
      <c r="C31" s="29" t="str">
        <v>Text or notes</v>
      </c>
      <c r="D31" s="29" t="str">
        <v>03 A usual day</v>
      </c>
      <c r="E31" s="3"/>
    </row>
    <row r="32" ht="34" customHeight="1">
      <c r="A32" s="3"/>
      <c r="B32" s="29" t="str">
        <v>Language barrier</v>
      </c>
      <c r="C32" s="29" t="str">
        <v>Yes; No; Unable to assess</v>
      </c>
      <c r="D32" s="29" t="str">
        <v>03 A usual day</v>
      </c>
      <c r="E32" s="3"/>
    </row>
    <row r="33" ht="34" customHeight="1">
      <c r="A33" s="3"/>
      <c r="B33" s="29" t="str">
        <v>Language support needed</v>
      </c>
      <c r="C33" s="29" t="str">
        <v>Text or notes</v>
      </c>
      <c r="D33" s="29" t="str">
        <v>03 A usual day</v>
      </c>
      <c r="E33" s="3"/>
    </row>
    <row r="34" ht="34" customHeight="1">
      <c r="A34" s="3"/>
      <c r="B34" s="29" t="str">
        <v>Can hold a linear conversation</v>
      </c>
      <c r="C34" s="29" t="str">
        <v>Yes; No; Unable to assess</v>
      </c>
      <c r="D34" s="29" t="str">
        <v>03 A usual day</v>
      </c>
      <c r="E34" s="3"/>
    </row>
    <row r="35" ht="34" customHeight="1">
      <c r="A35" s="3"/>
      <c r="B35" s="29" t="str">
        <v>Conversation barriers</v>
      </c>
      <c r="C35" s="29" t="str">
        <v>Text or notes</v>
      </c>
      <c r="D35" s="29" t="str">
        <v>03 A usual day</v>
      </c>
      <c r="E35" s="3"/>
    </row>
    <row r="36" ht="34" customHeight="1">
      <c r="A36" s="3"/>
      <c r="B36" s="29" t="str">
        <v>Interaction with peers</v>
      </c>
      <c r="C36" s="29" t="str">
        <v>Whole number</v>
      </c>
      <c r="D36" s="29" t="str">
        <v>03 A usual day</v>
      </c>
      <c r="E36" s="3"/>
    </row>
    <row r="37" ht="34" customHeight="1">
      <c r="A37" s="3"/>
      <c r="B37" s="29" t="str">
        <v>Peer interaction notes</v>
      </c>
      <c r="C37" s="29" t="str">
        <v>Text or notes</v>
      </c>
      <c r="D37" s="29" t="str">
        <v>03 A usual day</v>
      </c>
      <c r="E37" s="3"/>
    </row>
    <row r="38" ht="34" customHeight="1">
      <c r="A38" s="3"/>
      <c r="B38" s="29" t="str">
        <v>Interaction with staff</v>
      </c>
      <c r="C38" s="29" t="str">
        <v>Whole number</v>
      </c>
      <c r="D38" s="29" t="str">
        <v>03 A usual day</v>
      </c>
      <c r="E38" s="3"/>
    </row>
    <row r="39" ht="34" customHeight="1">
      <c r="A39" s="3"/>
      <c r="B39" s="29" t="str">
        <v>Staff interaction notes</v>
      </c>
      <c r="C39" s="29" t="str">
        <v>Text or notes</v>
      </c>
      <c r="D39" s="29" t="str">
        <v>03 A usual day</v>
      </c>
      <c r="E39" s="3"/>
    </row>
    <row r="40" ht="34" customHeight="1">
      <c r="A40" s="3"/>
      <c r="B40" s="29" t="str">
        <v>Participates in programming</v>
      </c>
      <c r="C40" s="29" t="str">
        <v>Yes; No; Unable to assess</v>
      </c>
      <c r="D40" s="29" t="str">
        <v>03 A usual day</v>
      </c>
      <c r="E40" s="3"/>
    </row>
    <row r="41" ht="34" customHeight="1">
      <c r="A41" s="3"/>
      <c r="B41" s="29" t="str">
        <v>Programming notes</v>
      </c>
      <c r="C41" s="29" t="str">
        <v>Text or notes</v>
      </c>
      <c r="D41" s="29" t="str">
        <v>03 A usual day</v>
      </c>
      <c r="E41" s="3"/>
    </row>
    <row r="42" ht="34" customHeight="1">
      <c r="A42" s="3"/>
      <c r="B42" s="29" t="str">
        <v>Physical health concerns</v>
      </c>
      <c r="C42" s="29" t="str">
        <v>Yes; No; Unable to assess</v>
      </c>
      <c r="D42" s="29" t="str">
        <v>04 Health and comfort</v>
      </c>
      <c r="E42" s="3"/>
    </row>
    <row r="43" ht="34" customHeight="1">
      <c r="A43" s="3"/>
      <c r="B43" s="29" t="str">
        <v>Physical health diagnoses</v>
      </c>
      <c r="C43" s="29" t="str">
        <v>Text or notes</v>
      </c>
      <c r="D43" s="29" t="str">
        <v>04 Health and comfort</v>
      </c>
      <c r="E43" s="3"/>
    </row>
    <row r="44" ht="34" customHeight="1">
      <c r="A44" s="3"/>
      <c r="B44" s="29" t="str">
        <v>Current health measures</v>
      </c>
      <c r="C44" s="29" t="str">
        <v>Text or notes</v>
      </c>
      <c r="D44" s="29" t="str">
        <v>04 Health and comfort</v>
      </c>
      <c r="E44" s="3"/>
    </row>
    <row r="45" ht="34" customHeight="1">
      <c r="A45" s="3"/>
      <c r="B45" s="29" t="str">
        <v>Diabetic</v>
      </c>
      <c r="C45" s="29" t="str">
        <v>Yes; No; Unable to assess</v>
      </c>
      <c r="D45" s="29" t="str">
        <v>04 Health and comfort</v>
      </c>
      <c r="E45" s="3"/>
    </row>
    <row r="46" ht="34" customHeight="1">
      <c r="A46" s="3"/>
      <c r="B46" s="29" t="str">
        <v>Diabetes care details</v>
      </c>
      <c r="C46" s="29" t="str">
        <v>Text or notes</v>
      </c>
      <c r="D46" s="29" t="str">
        <v>04 Health and comfort</v>
      </c>
      <c r="E46" s="3"/>
    </row>
    <row r="47" ht="34" customHeight="1">
      <c r="A47" s="3"/>
      <c r="B47" s="29" t="str">
        <v>Special diet</v>
      </c>
      <c r="C47" s="29" t="str">
        <v>Yes; No; Unable to assess</v>
      </c>
      <c r="D47" s="29" t="str">
        <v>04 Health and comfort</v>
      </c>
      <c r="E47" s="3"/>
    </row>
    <row r="48" ht="34" customHeight="1">
      <c r="A48" s="3"/>
      <c r="B48" s="29" t="str">
        <v>Dietary restrictions</v>
      </c>
      <c r="C48" s="29" t="str">
        <v>Text or notes</v>
      </c>
      <c r="D48" s="29" t="str">
        <v>04 Health and comfort</v>
      </c>
      <c r="E48" s="3"/>
    </row>
    <row r="49" ht="34" customHeight="1">
      <c r="A49" s="3"/>
      <c r="B49" s="29" t="str">
        <v>Skin integrity issue</v>
      </c>
      <c r="C49" s="29" t="str">
        <v>Yes; No; Unable to assess</v>
      </c>
      <c r="D49" s="29" t="str">
        <v>04 Health and comfort</v>
      </c>
      <c r="E49" s="3"/>
    </row>
    <row r="50" ht="34" customHeight="1">
      <c r="A50" s="3"/>
      <c r="B50" s="29" t="str">
        <v>Skin integrity details</v>
      </c>
      <c r="C50" s="29" t="str">
        <v>Text or notes</v>
      </c>
      <c r="D50" s="29" t="str">
        <v>04 Health and comfort</v>
      </c>
      <c r="E50" s="3"/>
    </row>
    <row r="51" ht="34" customHeight="1">
      <c r="A51" s="3"/>
      <c r="B51" s="29" t="str">
        <v>Dentures</v>
      </c>
      <c r="C51" s="29" t="str">
        <v>Yes; No; Unable to assess</v>
      </c>
      <c r="D51" s="29" t="str">
        <v>04 Health and comfort</v>
      </c>
      <c r="E51" s="3"/>
    </row>
    <row r="52" ht="34" customHeight="1">
      <c r="A52" s="3"/>
      <c r="B52" s="29" t="str">
        <v>Hearing aids</v>
      </c>
      <c r="C52" s="29" t="str">
        <v>Yes; No; Unable to assess</v>
      </c>
      <c r="D52" s="29" t="str">
        <v>04 Health and comfort</v>
      </c>
      <c r="E52" s="3"/>
    </row>
    <row r="53" ht="34" customHeight="1">
      <c r="A53" s="3"/>
      <c r="B53" s="29" t="str">
        <v>Glasses</v>
      </c>
      <c r="C53" s="29" t="str">
        <v>Yes; No; Unable to assess</v>
      </c>
      <c r="D53" s="29" t="str">
        <v>04 Health and comfort</v>
      </c>
      <c r="E53" s="3"/>
    </row>
    <row r="54" ht="34" customHeight="1">
      <c r="A54" s="3"/>
      <c r="B54" s="29" t="str">
        <v>Oxygen</v>
      </c>
      <c r="C54" s="29" t="str">
        <v>Yes; No; Unable to assess</v>
      </c>
      <c r="D54" s="29" t="str">
        <v>04 Health and comfort</v>
      </c>
      <c r="E54" s="3"/>
    </row>
    <row r="55" ht="34" customHeight="1">
      <c r="A55" s="3"/>
      <c r="B55" s="29" t="str">
        <v>Hospital bed</v>
      </c>
      <c r="C55" s="29" t="str">
        <v>Yes; No; Unable to assess</v>
      </c>
      <c r="D55" s="29" t="str">
        <v>04 Health and comfort</v>
      </c>
      <c r="E55" s="3"/>
    </row>
    <row r="56" ht="34" customHeight="1">
      <c r="A56" s="3"/>
      <c r="B56" s="29" t="str">
        <v>CPAP</v>
      </c>
      <c r="C56" s="29" t="str">
        <v>Yes; No; Unable to assess</v>
      </c>
      <c r="D56" s="29" t="str">
        <v>04 Health and comfort</v>
      </c>
      <c r="E56" s="3"/>
    </row>
    <row r="57" ht="34" customHeight="1">
      <c r="A57" s="3"/>
      <c r="B57" s="29" t="str">
        <v>Catheter care</v>
      </c>
      <c r="C57" s="29" t="str">
        <v>Yes; No; Unable to assess</v>
      </c>
      <c r="D57" s="29" t="str">
        <v>04 Health and comfort</v>
      </c>
      <c r="E57" s="3"/>
    </row>
    <row r="58" ht="34" customHeight="1">
      <c r="A58" s="3"/>
      <c r="B58" s="29" t="str">
        <v>Colostomy</v>
      </c>
      <c r="C58" s="29" t="str">
        <v>Yes; No; Unable to assess</v>
      </c>
      <c r="D58" s="29" t="str">
        <v>04 Health and comfort</v>
      </c>
      <c r="E58" s="3"/>
    </row>
    <row r="59" ht="34" customHeight="1">
      <c r="A59" s="3"/>
      <c r="B59" s="29" t="str">
        <v>Ileostomy</v>
      </c>
      <c r="C59" s="29" t="str">
        <v>Yes; No; Unable to assess</v>
      </c>
      <c r="D59" s="29" t="str">
        <v>04 Health and comfort</v>
      </c>
      <c r="E59" s="3"/>
    </row>
    <row r="60" ht="34" customHeight="1">
      <c r="A60" s="3"/>
      <c r="B60" s="29" t="str">
        <v>Incontinence issues</v>
      </c>
      <c r="C60" s="29" t="str">
        <v>Yes; No; Unable to assess</v>
      </c>
      <c r="D60" s="29" t="str">
        <v>04 Health and comfort</v>
      </c>
      <c r="E60" s="3"/>
    </row>
    <row r="61" ht="44" customHeight="1">
      <c r="A61" s="3"/>
      <c r="B61" s="29" t="str">
        <v>Support</v>
      </c>
      <c r="C61" s="29" t="str">
        <v>Client independently changes briefs; Client needs help changing briefs; Client needs briefs changed</v>
      </c>
      <c r="D61" s="29" t="str">
        <v>04 Health and comfort</v>
      </c>
      <c r="E61" s="3"/>
    </row>
    <row r="62" ht="34" customHeight="1">
      <c r="A62" s="3"/>
      <c r="B62" s="29" t="str">
        <v>Additional health information</v>
      </c>
      <c r="C62" s="29" t="str">
        <v>Text or notes</v>
      </c>
      <c r="D62" s="29" t="str">
        <v>04 Health and comfort</v>
      </c>
      <c r="E62" s="3"/>
    </row>
    <row r="63" ht="34" customHeight="1">
      <c r="A63" s="3"/>
      <c r="B63" s="29" t="str">
        <v>Medication compliant</v>
      </c>
      <c r="C63" s="29" t="str">
        <v>Yes; No; Unable to assess</v>
      </c>
      <c r="D63" s="29" t="str">
        <v>05 Medication</v>
      </c>
      <c r="E63" s="3"/>
    </row>
    <row r="64" ht="34" customHeight="1">
      <c r="A64" s="3"/>
      <c r="B64" s="29" t="str">
        <v>Date of last medication refusal</v>
      </c>
      <c r="C64" s="29" t="str">
        <v>Date (YYYY-MM-DD)</v>
      </c>
      <c r="D64" s="29" t="str">
        <v>05 Medication</v>
      </c>
      <c r="E64" s="3"/>
    </row>
    <row r="65" ht="34" customHeight="1">
      <c r="A65" s="3"/>
      <c r="B65" s="29" t="str">
        <v>Medication refused</v>
      </c>
      <c r="C65" s="29" t="str">
        <v>Text or notes</v>
      </c>
      <c r="D65" s="29" t="str">
        <v>05 Medication</v>
      </c>
      <c r="E65" s="3"/>
    </row>
    <row r="66" ht="34" customHeight="1">
      <c r="A66" s="3"/>
      <c r="B66" s="29" t="str">
        <v>Refusals in the last 30 days</v>
      </c>
      <c r="C66" s="29" t="str">
        <v>Whole number</v>
      </c>
      <c r="D66" s="29" t="str">
        <v>05 Medication</v>
      </c>
      <c r="E66" s="3"/>
    </row>
    <row r="67" ht="34" customHeight="1">
      <c r="A67" s="3"/>
      <c r="B67" s="29" t="str">
        <v>Medications at intake</v>
      </c>
      <c r="C67" s="29" t="str">
        <v>One item per line</v>
      </c>
      <c r="D67" s="29" t="str">
        <v>05 Medication</v>
      </c>
      <c r="E67" s="3"/>
    </row>
    <row r="68" ht="34" customHeight="1">
      <c r="A68" s="3"/>
      <c r="B68" s="29" t="str">
        <v>PRN patterns</v>
      </c>
      <c r="C68" s="29" t="str">
        <v>Text or notes</v>
      </c>
      <c r="D68" s="29" t="str">
        <v>05 Medication</v>
      </c>
      <c r="E68" s="3"/>
    </row>
    <row r="69" ht="34" customHeight="1">
      <c r="A69" s="3"/>
      <c r="B69" s="29" t="str">
        <v>IM injections</v>
      </c>
      <c r="C69" s="29" t="str">
        <v>Yes; No; Unable to assess</v>
      </c>
      <c r="D69" s="29" t="str">
        <v>05 Medication</v>
      </c>
      <c r="E69" s="3"/>
    </row>
    <row r="70" ht="34" customHeight="1">
      <c r="A70" s="3"/>
      <c r="B70" s="29" t="str">
        <v>Injection details</v>
      </c>
      <c r="C70" s="29" t="str">
        <v>Text or notes</v>
      </c>
      <c r="D70" s="29" t="str">
        <v>05 Medication</v>
      </c>
      <c r="E70" s="3"/>
    </row>
    <row r="71" ht="34" customHeight="1">
      <c r="A71" s="3"/>
      <c r="B71" s="29" t="str">
        <v>Injection frequency</v>
      </c>
      <c r="C71" s="29" t="str">
        <v>Text or notes</v>
      </c>
      <c r="D71" s="29" t="str">
        <v>05 Medication</v>
      </c>
      <c r="E71" s="3"/>
    </row>
    <row r="72" ht="34" customHeight="1">
      <c r="A72" s="3"/>
      <c r="B72" s="29" t="str">
        <v>Last injection</v>
      </c>
      <c r="C72" s="29" t="str">
        <v>Text or notes</v>
      </c>
      <c r="D72" s="29" t="str">
        <v>05 Medication</v>
      </c>
      <c r="E72" s="3"/>
    </row>
    <row r="73" ht="34" customHeight="1">
      <c r="A73" s="3"/>
      <c r="B73" s="29" t="str">
        <v>Next injection due</v>
      </c>
      <c r="C73" s="29" t="str">
        <v>Text or notes</v>
      </c>
      <c r="D73" s="29" t="str">
        <v>05 Medication</v>
      </c>
      <c r="E73" s="3"/>
    </row>
    <row r="74" ht="34" customHeight="1">
      <c r="A74" s="3"/>
      <c r="B74" s="29" t="str">
        <v>LAI vs oral</v>
      </c>
      <c r="C74" s="29" t="str">
        <v>Text or notes</v>
      </c>
      <c r="D74" s="29" t="str">
        <v>05 Medication</v>
      </c>
      <c r="E74" s="3"/>
    </row>
    <row r="75" ht="34" customHeight="1">
      <c r="A75" s="3"/>
      <c r="B75" s="29" t="str">
        <v>County</v>
      </c>
      <c r="C75" s="29" t="str">
        <v>Text or notes</v>
      </c>
      <c r="D75" s="29" t="str">
        <v>06 Living situation</v>
      </c>
      <c r="E75" s="3"/>
    </row>
    <row r="76" ht="76" customHeight="1">
      <c r="A76" s="3"/>
      <c r="B76" s="29" t="str">
        <v>Prior setting type</v>
      </c>
      <c r="C76" s="29" t="str">
        <v>State hospital; Acute psychiatric hospital; IMD / MHRC; Skilled nursing facility; Board and care; Residential program; Jail / forensic setting; Independent or family home; Unhoused; Other</v>
      </c>
      <c r="D76" s="29" t="str">
        <v>06 Living situation</v>
      </c>
      <c r="E76" s="3"/>
    </row>
    <row r="77" ht="34" customHeight="1">
      <c r="A77" s="3"/>
      <c r="B77" s="29" t="str">
        <v>Prior placement name</v>
      </c>
      <c r="C77" s="29" t="str">
        <v>Text or notes</v>
      </c>
      <c r="D77" s="29" t="str">
        <v>06 Living situation</v>
      </c>
      <c r="E77" s="3"/>
    </row>
    <row r="78" ht="34" customHeight="1">
      <c r="A78" s="3"/>
      <c r="B78" s="29" t="str">
        <v>Admit date</v>
      </c>
      <c r="C78" s="29" t="str">
        <v>Date (YYYY-MM-DD)</v>
      </c>
      <c r="D78" s="29" t="str">
        <v>06 Living situation</v>
      </c>
      <c r="E78" s="3"/>
    </row>
    <row r="79" ht="34" customHeight="1">
      <c r="A79" s="3"/>
      <c r="B79" s="29" t="str">
        <v>Prior placements</v>
      </c>
      <c r="C79" s="29" t="str">
        <v>Text or notes</v>
      </c>
      <c r="D79" s="29" t="str">
        <v>07 Recent care and history</v>
      </c>
      <c r="E79" s="3"/>
    </row>
    <row r="80" ht="34" customHeight="1">
      <c r="A80" s="3"/>
      <c r="B80" s="29" t="str">
        <v>Prior AWOL / failed placements</v>
      </c>
      <c r="C80" s="29" t="str">
        <v>Text or notes</v>
      </c>
      <c r="D80" s="29" t="str">
        <v>07 Recent care and history</v>
      </c>
      <c r="E80" s="3"/>
    </row>
    <row r="81" ht="34" customHeight="1">
      <c r="A81" s="3"/>
      <c r="B81" s="29" t="str">
        <v>Prior hospitalizations</v>
      </c>
      <c r="C81" s="29" t="str">
        <v>Whole number</v>
      </c>
      <c r="D81" s="29" t="str">
        <v>07 Recent care and history</v>
      </c>
      <c r="E81" s="3"/>
    </row>
    <row r="82" ht="34" customHeight="1">
      <c r="A82" s="3"/>
      <c r="B82" s="29" t="str">
        <v>Most recent hospitalization</v>
      </c>
      <c r="C82" s="29" t="str">
        <v>Date (YYYY-MM-DD)</v>
      </c>
      <c r="D82" s="29" t="str">
        <v>07 Recent care and history</v>
      </c>
      <c r="E82" s="3"/>
    </row>
    <row r="83" ht="34" customHeight="1">
      <c r="A83" s="3"/>
      <c r="B83" s="29" t="str">
        <v>Prior 5150 / 5250 holds</v>
      </c>
      <c r="C83" s="29" t="str">
        <v>Text or notes</v>
      </c>
      <c r="D83" s="29" t="str">
        <v>07 Recent care and history</v>
      </c>
      <c r="E83" s="3"/>
    </row>
    <row r="84" ht="34" customHeight="1">
      <c r="A84" s="3"/>
      <c r="B84" s="29" t="str">
        <v>Crisis / ER utilization</v>
      </c>
      <c r="C84" s="29" t="str">
        <v>Text or notes</v>
      </c>
      <c r="D84" s="29" t="str">
        <v>07 Recent care and history</v>
      </c>
      <c r="E84" s="3"/>
    </row>
    <row r="85" ht="34" customHeight="1">
      <c r="A85" s="3"/>
      <c r="B85" s="29" t="str">
        <v>History of substance abuse</v>
      </c>
      <c r="C85" s="29" t="str">
        <v>Yes; No; Unable to assess</v>
      </c>
      <c r="D85" s="29" t="str">
        <v>08 Substance use and recovery</v>
      </c>
      <c r="E85" s="3"/>
    </row>
    <row r="86" ht="34" customHeight="1">
      <c r="A86" s="3"/>
      <c r="B86" s="29" t="str">
        <v>Active substance use</v>
      </c>
      <c r="C86" s="29" t="str">
        <v>Yes; No; Unable to assess</v>
      </c>
      <c r="D86" s="29" t="str">
        <v>08 Substance use and recovery</v>
      </c>
      <c r="E86" s="3"/>
    </row>
    <row r="87" ht="34" customHeight="1">
      <c r="A87" s="3"/>
      <c r="B87" s="29" t="str">
        <v>Substances</v>
      </c>
      <c r="C87" s="29" t="str">
        <v>Opioids; Amphetamines; Marijuana; Alcohol; Other</v>
      </c>
      <c r="D87" s="29" t="str">
        <v>08 Substance use and recovery</v>
      </c>
      <c r="E87" s="3"/>
    </row>
    <row r="88" ht="34" customHeight="1">
      <c r="A88" s="3"/>
      <c r="B88" s="29" t="str">
        <v>Last substance use</v>
      </c>
      <c r="C88" s="29" t="str">
        <v>Date (YYYY-MM-DD)</v>
      </c>
      <c r="D88" s="29" t="str">
        <v>08 Substance use and recovery</v>
      </c>
      <c r="E88" s="3"/>
    </row>
    <row r="89" ht="34" customHeight="1">
      <c r="A89" s="3"/>
      <c r="B89" s="29" t="str">
        <v>Use pattern</v>
      </c>
      <c r="C89" s="29" t="str">
        <v>Daily; Weekly; Sporadic; Rarely</v>
      </c>
      <c r="D89" s="29" t="str">
        <v>08 Substance use and recovery</v>
      </c>
      <c r="E89" s="3"/>
    </row>
    <row r="90" ht="34" customHeight="1">
      <c r="A90" s="3"/>
      <c r="B90" s="29" t="str">
        <v>Effect on baseline behavior</v>
      </c>
      <c r="C90" s="29" t="str">
        <v>Text or notes</v>
      </c>
      <c r="D90" s="29" t="str">
        <v>08 Substance use and recovery</v>
      </c>
      <c r="E90" s="3"/>
    </row>
    <row r="91" ht="60" customHeight="1">
      <c r="A91" s="3"/>
      <c r="B91" s="29" t="str">
        <v>Longest sobriety in the last five years</v>
      </c>
      <c r="C91" s="29" t="str">
        <v>1 month; 2 months; 3 months; 4 months; 5 months; 6 months; 7 months; 8 months; 9 months; 10 months; 11 months; 1 year; 18 months; 2 years; More than 2 years</v>
      </c>
      <c r="D91" s="29" t="str">
        <v>08 Substance use and recovery</v>
      </c>
      <c r="E91" s="3"/>
    </row>
    <row r="92" ht="44" customHeight="1">
      <c r="A92" s="3"/>
      <c r="B92" s="29" t="str">
        <v>Acknowledgment of substance-use impact</v>
      </c>
      <c r="C92" s="29" t="str">
        <v>Acknowledges impact; Partially acknowledges impact; Does not acknowledge impact; Not discussed</v>
      </c>
      <c r="D92" s="29" t="str">
        <v>08 Substance use and recovery</v>
      </c>
      <c r="E92" s="3"/>
    </row>
    <row r="93" ht="34" customHeight="1">
      <c r="A93" s="3"/>
      <c r="B93" s="29" t="str">
        <v>Substance-use impact notes</v>
      </c>
      <c r="C93" s="29" t="str">
        <v>Text or notes</v>
      </c>
      <c r="D93" s="29" t="str">
        <v>08 Substance use and recovery</v>
      </c>
      <c r="E93" s="3"/>
    </row>
    <row r="94" ht="34" customHeight="1">
      <c r="A94" s="3"/>
      <c r="B94" s="29" t="str">
        <v>Treatment history</v>
      </c>
      <c r="C94" s="29" t="str">
        <v>Text or notes</v>
      </c>
      <c r="D94" s="29" t="str">
        <v>08 Substance use and recovery</v>
      </c>
      <c r="E94" s="3"/>
    </row>
    <row r="95" ht="34" customHeight="1">
      <c r="A95" s="3"/>
      <c r="B95" s="29" t="str">
        <v>Longest sobriety in the last five years</v>
      </c>
      <c r="C95" s="29" t="str">
        <v>Whole number</v>
      </c>
      <c r="D95" s="29" t="str">
        <v>08 Substance use and recovery</v>
      </c>
      <c r="E95" s="3"/>
    </row>
    <row r="96" ht="34" customHeight="1">
      <c r="A96" s="3"/>
      <c r="B96" s="29" t="str">
        <v>Behavioral history</v>
      </c>
      <c r="C96" s="29" t="str">
        <v>Text or notes</v>
      </c>
      <c r="D96" s="29" t="str">
        <v>09 Safety and support</v>
      </c>
      <c r="E96" s="3"/>
    </row>
    <row r="97" ht="34" customHeight="1">
      <c r="A97" s="3"/>
      <c r="B97" s="29" t="str">
        <v>Physical altercations</v>
      </c>
      <c r="C97" s="29" t="str">
        <v>Yes; No; Unable to assess</v>
      </c>
      <c r="D97" s="29" t="str">
        <v>09 Safety and support</v>
      </c>
      <c r="E97" s="3"/>
    </row>
    <row r="98" ht="34" customHeight="1">
      <c r="A98" s="3"/>
      <c r="B98" s="29" t="str">
        <v>Physical altercation details</v>
      </c>
      <c r="C98" s="29" t="str">
        <v>Text or notes</v>
      </c>
      <c r="D98" s="29" t="str">
        <v>09 Safety and support</v>
      </c>
      <c r="E98" s="3"/>
    </row>
    <row r="99" ht="34" customHeight="1">
      <c r="A99" s="3"/>
      <c r="B99" s="29" t="str">
        <v>History of self-harm</v>
      </c>
      <c r="C99" s="29" t="str">
        <v>Yes; No; Unable to assess</v>
      </c>
      <c r="D99" s="29" t="str">
        <v>09 Safety and support</v>
      </c>
      <c r="E99" s="3"/>
    </row>
    <row r="100" ht="34" customHeight="1">
      <c r="A100" s="3"/>
      <c r="B100" s="29" t="str">
        <v>Last documented self-harm incident</v>
      </c>
      <c r="C100" s="29" t="str">
        <v>Text or notes</v>
      </c>
      <c r="D100" s="29" t="str">
        <v>09 Safety and support</v>
      </c>
      <c r="E100" s="3"/>
    </row>
    <row r="101" ht="34" customHeight="1">
      <c r="A101" s="3"/>
      <c r="B101" s="29" t="str">
        <v>Current self-harm ideation</v>
      </c>
      <c r="C101" s="29" t="str">
        <v>Yes; No; Unable to assess</v>
      </c>
      <c r="D101" s="29" t="str">
        <v>09 Safety and support</v>
      </c>
      <c r="E101" s="3"/>
    </row>
    <row r="102" ht="34" customHeight="1">
      <c r="A102" s="3"/>
      <c r="B102" s="29" t="str">
        <v>Current self-harm ideation details</v>
      </c>
      <c r="C102" s="29" t="str">
        <v>Text or notes</v>
      </c>
      <c r="D102" s="29" t="str">
        <v>09 Safety and support</v>
      </c>
      <c r="E102" s="3"/>
    </row>
    <row r="103" ht="34" customHeight="1">
      <c r="A103" s="3"/>
      <c r="B103" s="29" t="str">
        <v>Current safety measures</v>
      </c>
      <c r="C103" s="29" t="str">
        <v>Text or notes</v>
      </c>
      <c r="D103" s="29" t="str">
        <v>09 Safety and support</v>
      </c>
      <c r="E103" s="3"/>
    </row>
    <row r="104" ht="34" customHeight="1">
      <c r="A104" s="3"/>
      <c r="B104" s="29" t="str">
        <v>History of assaults</v>
      </c>
      <c r="C104" s="29" t="str">
        <v>Yes; No; Unable to assess</v>
      </c>
      <c r="D104" s="29" t="str">
        <v>09 Safety and support</v>
      </c>
      <c r="E104" s="3"/>
    </row>
    <row r="105" ht="34" customHeight="1">
      <c r="A105" s="3"/>
      <c r="B105" s="29" t="str">
        <v>Most recent assault</v>
      </c>
      <c r="C105" s="29" t="str">
        <v>Text or notes</v>
      </c>
      <c r="D105" s="29" t="str">
        <v>09 Safety and support</v>
      </c>
      <c r="E105" s="3"/>
    </row>
    <row r="106" ht="34" customHeight="1">
      <c r="A106" s="3"/>
      <c r="B106" s="29" t="str">
        <v>Assaults in the last two years</v>
      </c>
      <c r="C106" s="29" t="str">
        <v>Whole number</v>
      </c>
      <c r="D106" s="29" t="str">
        <v>09 Safety and support</v>
      </c>
      <c r="E106" s="3"/>
    </row>
    <row r="107" ht="34" customHeight="1">
      <c r="A107" s="3"/>
      <c r="B107" s="29" t="str">
        <v>History of elopement</v>
      </c>
      <c r="C107" s="29" t="str">
        <v>Yes; No; Unable to assess</v>
      </c>
      <c r="D107" s="29" t="str">
        <v>09 Safety and support</v>
      </c>
      <c r="E107" s="3"/>
    </row>
    <row r="108" ht="34" customHeight="1">
      <c r="A108" s="3"/>
      <c r="B108" s="29" t="str">
        <v>Elopement risk</v>
      </c>
      <c r="C108" s="29" t="str">
        <v>Text or notes</v>
      </c>
      <c r="D108" s="29" t="str">
        <v>09 Safety and support</v>
      </c>
      <c r="E108" s="3"/>
    </row>
    <row r="109" ht="34" customHeight="1">
      <c r="A109" s="3"/>
      <c r="B109" s="29" t="str">
        <v>SI / HI history</v>
      </c>
      <c r="C109" s="29" t="str">
        <v>Text or notes</v>
      </c>
      <c r="D109" s="29" t="str">
        <v>09 Safety and support</v>
      </c>
      <c r="E109" s="3"/>
    </row>
    <row r="110" ht="34" customHeight="1">
      <c r="A110" s="3"/>
      <c r="B110" s="29" t="str">
        <v>Triggers and what helps</v>
      </c>
      <c r="C110" s="29" t="str">
        <v>Text or notes</v>
      </c>
      <c r="D110" s="29" t="str">
        <v>09 Safety and support</v>
      </c>
      <c r="E110" s="3"/>
    </row>
    <row r="111" ht="34" customHeight="1">
      <c r="A111" s="3"/>
      <c r="B111" s="29" t="str">
        <v>Aggression risk</v>
      </c>
      <c r="C111" s="29" t="str">
        <v>Text or notes</v>
      </c>
      <c r="D111" s="29" t="str">
        <v>09 Safety and support</v>
      </c>
      <c r="E111" s="3"/>
    </row>
    <row r="112" ht="34" customHeight="1">
      <c r="A112" s="3"/>
      <c r="B112" s="29" t="str">
        <v>Responds to internal stimuli</v>
      </c>
      <c r="C112" s="29" t="str">
        <v>Text or notes</v>
      </c>
      <c r="D112" s="29" t="str">
        <v>09 Safety and support</v>
      </c>
      <c r="E112" s="3"/>
    </row>
    <row r="113" ht="34" customHeight="1">
      <c r="A113" s="3"/>
      <c r="B113" s="29" t="str">
        <v>Auditory hallucinations</v>
      </c>
      <c r="C113" s="29" t="str">
        <v>Text or notes</v>
      </c>
      <c r="D113" s="29" t="str">
        <v>09 Safety and support</v>
      </c>
      <c r="E113" s="3"/>
    </row>
    <row r="114" ht="34" customHeight="1">
      <c r="A114" s="3"/>
      <c r="B114" s="29" t="str">
        <v>Nature of auditory hallucinations</v>
      </c>
      <c r="C114" s="29" t="str">
        <v>Text or notes</v>
      </c>
      <c r="D114" s="29" t="str">
        <v>09 Safety and support</v>
      </c>
      <c r="E114" s="3"/>
    </row>
    <row r="115" ht="34" customHeight="1">
      <c r="A115" s="3"/>
      <c r="B115" s="29" t="str">
        <v>Current auditory frequency</v>
      </c>
      <c r="C115" s="29" t="str">
        <v>Text or notes</v>
      </c>
      <c r="D115" s="29" t="str">
        <v>09 Safety and support</v>
      </c>
      <c r="E115" s="3"/>
    </row>
    <row r="116" ht="34" customHeight="1">
      <c r="A116" s="3"/>
      <c r="B116" s="29" t="str">
        <v>Auditory triggers</v>
      </c>
      <c r="C116" s="29" t="str">
        <v>Text or notes</v>
      </c>
      <c r="D116" s="29" t="str">
        <v>09 Safety and support</v>
      </c>
      <c r="E116" s="3"/>
    </row>
    <row r="117" ht="34" customHeight="1">
      <c r="A117" s="3"/>
      <c r="B117" s="29" t="str">
        <v>Visual hallucinations</v>
      </c>
      <c r="C117" s="29" t="str">
        <v>Text or notes</v>
      </c>
      <c r="D117" s="29" t="str">
        <v>09 Safety and support</v>
      </c>
      <c r="E117" s="3"/>
    </row>
    <row r="118" ht="34" customHeight="1">
      <c r="A118" s="3"/>
      <c r="B118" s="29" t="str">
        <v>Nature and frequency of visual hallucinations</v>
      </c>
      <c r="C118" s="29" t="str">
        <v>Text or notes</v>
      </c>
      <c r="D118" s="29" t="str">
        <v>09 Safety and support</v>
      </c>
      <c r="E118" s="3"/>
    </row>
    <row r="119" ht="34" customHeight="1">
      <c r="A119" s="3"/>
      <c r="B119" s="29" t="str">
        <v>Recent visual hallucinations</v>
      </c>
      <c r="C119" s="29" t="str">
        <v>Text or notes</v>
      </c>
      <c r="D119" s="29" t="str">
        <v>09 Safety and support</v>
      </c>
      <c r="E119" s="3"/>
    </row>
    <row r="120" ht="34" customHeight="1">
      <c r="A120" s="3"/>
      <c r="B120" s="29" t="str">
        <v>Olfactory hallucinations</v>
      </c>
      <c r="C120" s="29" t="str">
        <v>Text or notes</v>
      </c>
      <c r="D120" s="29" t="str">
        <v>09 Safety and support</v>
      </c>
      <c r="E120" s="3"/>
    </row>
    <row r="121" ht="34" customHeight="1">
      <c r="A121" s="3"/>
      <c r="B121" s="29" t="str">
        <v>Olfactory hallucination details</v>
      </c>
      <c r="C121" s="29" t="str">
        <v>Text or notes</v>
      </c>
      <c r="D121" s="29" t="str">
        <v>09 Safety and support</v>
      </c>
      <c r="E121" s="3"/>
    </row>
    <row r="122" ht="34" customHeight="1">
      <c r="A122" s="3"/>
      <c r="B122" s="29" t="str">
        <v>Impact of olfactory hallucinations</v>
      </c>
      <c r="C122" s="29" t="str">
        <v>Text or notes</v>
      </c>
      <c r="D122" s="29" t="str">
        <v>09 Safety and support</v>
      </c>
      <c r="E122" s="3"/>
    </row>
    <row r="123" ht="34" customHeight="1">
      <c r="A123" s="3"/>
      <c r="B123" s="29" t="str">
        <v>Tactile hallucinations</v>
      </c>
      <c r="C123" s="29" t="str">
        <v>Text or notes</v>
      </c>
      <c r="D123" s="29" t="str">
        <v>09 Safety and support</v>
      </c>
      <c r="E123" s="3"/>
    </row>
    <row r="124" ht="34" customHeight="1">
      <c r="A124" s="3"/>
      <c r="B124" s="29" t="str">
        <v>Tactile hallucination details</v>
      </c>
      <c r="C124" s="29" t="str">
        <v>Text or notes</v>
      </c>
      <c r="D124" s="29" t="str">
        <v>09 Safety and support</v>
      </c>
      <c r="E124" s="3"/>
    </row>
    <row r="125" ht="34" customHeight="1">
      <c r="A125" s="3"/>
      <c r="B125" s="29" t="str">
        <v>Tactile hallucination frequency</v>
      </c>
      <c r="C125" s="29" t="str">
        <v>Text or notes</v>
      </c>
      <c r="D125" s="29" t="str">
        <v>09 Safety and support</v>
      </c>
      <c r="E125" s="3"/>
    </row>
    <row r="126" ht="34" customHeight="1">
      <c r="A126" s="3"/>
      <c r="B126" s="29" t="str">
        <v>Gustatory hallucinations</v>
      </c>
      <c r="C126" s="29" t="str">
        <v>Text or notes</v>
      </c>
      <c r="D126" s="29" t="str">
        <v>09 Safety and support</v>
      </c>
      <c r="E126" s="3"/>
    </row>
    <row r="127" ht="34" customHeight="1">
      <c r="A127" s="3"/>
      <c r="B127" s="29" t="str">
        <v>Gustatory hallucination details</v>
      </c>
      <c r="C127" s="29" t="str">
        <v>Text or notes</v>
      </c>
      <c r="D127" s="29" t="str">
        <v>09 Safety and support</v>
      </c>
      <c r="E127" s="3"/>
    </row>
    <row r="128" ht="34" customHeight="1">
      <c r="A128" s="3"/>
      <c r="B128" s="29" t="str">
        <v>Hallucination coping strategies</v>
      </c>
      <c r="C128" s="29" t="str">
        <v>Text or notes</v>
      </c>
      <c r="D128" s="29" t="str">
        <v>09 Safety and support</v>
      </c>
      <c r="E128" s="3"/>
    </row>
    <row r="129" ht="34" customHeight="1">
      <c r="A129" s="3"/>
      <c r="B129" s="29" t="str">
        <v>Hallucination distress or impairment</v>
      </c>
      <c r="C129" s="29" t="str">
        <v>Text or notes</v>
      </c>
      <c r="D129" s="29" t="str">
        <v>09 Safety and support</v>
      </c>
      <c r="E129" s="3"/>
    </row>
    <row r="130" ht="34" customHeight="1">
      <c r="A130" s="3"/>
      <c r="B130" s="29" t="str">
        <v>Impact on daily functioning</v>
      </c>
      <c r="C130" s="29" t="str">
        <v>Text or notes</v>
      </c>
      <c r="D130" s="29" t="str">
        <v>09 Safety and support</v>
      </c>
      <c r="E130" s="3"/>
    </row>
    <row r="131" ht="34" customHeight="1">
      <c r="A131" s="3"/>
      <c r="B131" s="29" t="str">
        <v>Professional discussion and treatment</v>
      </c>
      <c r="C131" s="29" t="str">
        <v>Text or notes</v>
      </c>
      <c r="D131" s="29" t="str">
        <v>09 Safety and support</v>
      </c>
      <c r="E131" s="3"/>
    </row>
    <row r="132" ht="34" customHeight="1">
      <c r="A132" s="3"/>
      <c r="B132" s="29" t="str">
        <v>Conserved status</v>
      </c>
      <c r="C132" s="29" t="str">
        <v>LPS; TCon; Murphy's; Non-Conserved</v>
      </c>
      <c r="D132" s="29" t="str">
        <v>10 Decisions and legal support</v>
      </c>
      <c r="E132" s="3"/>
    </row>
    <row r="133" ht="34" customHeight="1">
      <c r="A133" s="3"/>
      <c r="B133" s="29" t="str">
        <v>Conservator name</v>
      </c>
      <c r="C133" s="29" t="str">
        <v>Text or notes</v>
      </c>
      <c r="D133" s="29" t="str">
        <v>10 Decisions and legal support</v>
      </c>
      <c r="E133" s="3"/>
    </row>
    <row r="134" ht="34" customHeight="1">
      <c r="A134" s="3"/>
      <c r="B134" s="29" t="str">
        <v>Conservatorship details</v>
      </c>
      <c r="C134" s="29" t="str">
        <v>Text or notes</v>
      </c>
      <c r="D134" s="29" t="str">
        <v>10 Decisions and legal support</v>
      </c>
      <c r="E134" s="3"/>
    </row>
    <row r="135" ht="34" customHeight="1">
      <c r="A135" s="3"/>
      <c r="B135" s="29" t="str">
        <v>Hold type</v>
      </c>
      <c r="C135" s="29" t="str">
        <v>Text or notes</v>
      </c>
      <c r="D135" s="29" t="str">
        <v>10 Decisions and legal support</v>
      </c>
      <c r="E135" s="3"/>
    </row>
    <row r="136" ht="34" customHeight="1">
      <c r="A136" s="3"/>
      <c r="B136" s="29" t="str">
        <v>Forensic involvement</v>
      </c>
      <c r="C136" s="29" t="str">
        <v>Yes; No; Unable to assess</v>
      </c>
      <c r="D136" s="29" t="str">
        <v>10 Decisions and legal support</v>
      </c>
      <c r="E136" s="3"/>
    </row>
    <row r="137" ht="34" customHeight="1">
      <c r="A137" s="3"/>
      <c r="B137" s="29" t="str">
        <v>Forensic involvement details</v>
      </c>
      <c r="C137" s="29" t="str">
        <v>Text or notes</v>
      </c>
      <c r="D137" s="29" t="str">
        <v>10 Decisions and legal support</v>
      </c>
      <c r="E137" s="3"/>
    </row>
    <row r="138" ht="34" customHeight="1">
      <c r="A138" s="3"/>
      <c r="B138" s="29" t="str">
        <v>History of arrest</v>
      </c>
      <c r="C138" s="29" t="str">
        <v>Yes; No; Unable to assess</v>
      </c>
      <c r="D138" s="29" t="str">
        <v>10 Decisions and legal support</v>
      </c>
      <c r="E138" s="3"/>
    </row>
    <row r="139" ht="34" customHeight="1">
      <c r="A139" s="3"/>
      <c r="B139" s="29" t="str">
        <v>Most recent arrest date</v>
      </c>
      <c r="C139" s="29" t="str">
        <v>Date (YYYY-MM-DD)</v>
      </c>
      <c r="D139" s="29" t="str">
        <v>10 Decisions and legal support</v>
      </c>
      <c r="E139" s="3"/>
    </row>
    <row r="140" ht="34" customHeight="1">
      <c r="A140" s="3"/>
      <c r="B140" s="29" t="str">
        <v>Most recent arrest charge</v>
      </c>
      <c r="C140" s="29" t="str">
        <v>Text or notes</v>
      </c>
      <c r="D140" s="29" t="str">
        <v>10 Decisions and legal support</v>
      </c>
      <c r="E140" s="3"/>
    </row>
    <row r="141" ht="34" customHeight="1">
      <c r="A141" s="3"/>
      <c r="B141" s="29" t="str">
        <v>Time in jail</v>
      </c>
      <c r="C141" s="29" t="str">
        <v>Text or notes</v>
      </c>
      <c r="D141" s="29" t="str">
        <v>10 Decisions and legal support</v>
      </c>
      <c r="E141" s="3"/>
    </row>
    <row r="142" ht="34" customHeight="1">
      <c r="A142" s="3"/>
      <c r="B142" s="29" t="str">
        <v>Arrest in the last two years</v>
      </c>
      <c r="C142" s="29" t="str">
        <v>Yes; No; Unable to assess</v>
      </c>
      <c r="D142" s="29" t="str">
        <v>10 Decisions and legal support</v>
      </c>
      <c r="E142" s="3"/>
    </row>
    <row r="143" ht="34" customHeight="1">
      <c r="A143" s="3"/>
      <c r="B143" s="29" t="str">
        <v>Recent arrest details</v>
      </c>
      <c r="C143" s="29" t="str">
        <v>Text or notes</v>
      </c>
      <c r="D143" s="29" t="str">
        <v>10 Decisions and legal support</v>
      </c>
      <c r="E143" s="3"/>
    </row>
    <row r="144" ht="34" customHeight="1">
      <c r="A144" s="3"/>
      <c r="B144" s="29" t="str">
        <v>Total recorded arrests</v>
      </c>
      <c r="C144" s="29" t="str">
        <v>Whole number</v>
      </c>
      <c r="D144" s="29" t="str">
        <v>10 Decisions and legal support</v>
      </c>
      <c r="E144" s="3"/>
    </row>
    <row r="145" ht="34" customHeight="1">
      <c r="A145" s="3"/>
      <c r="B145" s="29" t="str">
        <v>PC 290 registration</v>
      </c>
      <c r="C145" s="29" t="str">
        <v>Yes; No; Unable to assess</v>
      </c>
      <c r="D145" s="29" t="str">
        <v>10 Decisions and legal support</v>
      </c>
      <c r="E145" s="3"/>
    </row>
    <row r="146" ht="34" customHeight="1">
      <c r="A146" s="3"/>
      <c r="B146" s="29" t="str">
        <v>Arson history</v>
      </c>
      <c r="C146" s="29" t="str">
        <v>Yes; No; Unable to assess</v>
      </c>
      <c r="D146" s="29" t="str">
        <v>10 Decisions and legal support</v>
      </c>
      <c r="E146" s="3"/>
    </row>
    <row r="147" ht="34" customHeight="1">
      <c r="A147" s="3"/>
      <c r="B147" s="29" t="str">
        <v>Diversion client</v>
      </c>
      <c r="C147" s="29" t="str">
        <v>Yes; No; Unable to assess</v>
      </c>
      <c r="D147" s="29" t="str">
        <v>10 Decisions and legal support</v>
      </c>
      <c r="E147" s="3"/>
    </row>
    <row r="148" ht="34" customHeight="1">
      <c r="A148" s="3"/>
      <c r="B148" s="29" t="str">
        <v>Court requirements</v>
      </c>
      <c r="C148" s="29" t="str">
        <v>Text or notes</v>
      </c>
      <c r="D148" s="29" t="str">
        <v>10 Decisions and legal support</v>
      </c>
      <c r="E148" s="3"/>
    </row>
    <row r="149" ht="34" customHeight="1">
      <c r="A149" s="3"/>
      <c r="B149" s="29" t="str">
        <v>Court dates</v>
      </c>
      <c r="C149" s="29" t="str">
        <v>Text or notes</v>
      </c>
      <c r="D149" s="29" t="str">
        <v>10 Decisions and legal support</v>
      </c>
      <c r="E149" s="3"/>
    </row>
    <row r="150" ht="34" customHeight="1">
      <c r="A150" s="3"/>
      <c r="B150" s="29" t="str">
        <v>Probation / parole / justice</v>
      </c>
      <c r="C150" s="29" t="str">
        <v>Text or notes</v>
      </c>
      <c r="D150" s="29" t="str">
        <v>10 Decisions and legal support</v>
      </c>
      <c r="E150" s="3"/>
    </row>
    <row r="151" ht="34" customHeight="1">
      <c r="A151" s="3"/>
      <c r="B151" s="29" t="str">
        <v>Family involvement</v>
      </c>
      <c r="C151" s="29" t="str">
        <v>Text or notes</v>
      </c>
      <c r="D151" s="29" t="str">
        <v>11 What matters next</v>
      </c>
      <c r="E151" s="3"/>
    </row>
    <row r="152" ht="34" customHeight="1">
      <c r="A152" s="3"/>
      <c r="B152" s="29" t="str">
        <v>Friendships and social connections</v>
      </c>
      <c r="C152" s="29" t="str">
        <v>Text or notes</v>
      </c>
      <c r="D152" s="29" t="str">
        <v>11 What matters next</v>
      </c>
      <c r="E152" s="3"/>
    </row>
    <row r="153" ht="34" customHeight="1">
      <c r="A153" s="3"/>
      <c r="B153" s="29" t="str">
        <v>Prior living situation</v>
      </c>
      <c r="C153" s="29" t="str">
        <v>Text or notes</v>
      </c>
      <c r="D153" s="29" t="str">
        <v>11 What matters next</v>
      </c>
      <c r="E153" s="3"/>
    </row>
    <row r="154" ht="34" customHeight="1">
      <c r="A154" s="3"/>
      <c r="B154" s="29" t="str">
        <v>Housing history</v>
      </c>
      <c r="C154" s="29" t="str">
        <v>Text or notes</v>
      </c>
      <c r="D154" s="29" t="str">
        <v>11 What matters next</v>
      </c>
      <c r="E154" s="3"/>
    </row>
    <row r="155" ht="34" customHeight="1">
      <c r="A155" s="3"/>
      <c r="B155" s="29" t="str">
        <v>Benefits / income status</v>
      </c>
      <c r="C155" s="29" t="str">
        <v>Text or notes</v>
      </c>
      <c r="D155" s="29" t="str">
        <v>11 What matters next</v>
      </c>
      <c r="E155" s="3"/>
    </row>
    <row r="156" ht="34" customHeight="1">
      <c r="A156" s="3"/>
      <c r="B156" s="29" t="str">
        <v>Preferred facility characteristics</v>
      </c>
      <c r="C156" s="29" t="str">
        <v>Text or notes</v>
      </c>
      <c r="D156" s="29" t="str">
        <v>11 What matters next</v>
      </c>
      <c r="E156" s="3"/>
    </row>
    <row r="157" ht="34" customHeight="1">
      <c r="A157" s="3"/>
      <c r="B157" s="29" t="str">
        <v>Discharge planning goals</v>
      </c>
      <c r="C157" s="29" t="str">
        <v>Text or notes</v>
      </c>
      <c r="D157" s="29" t="str">
        <v>11 What matters next</v>
      </c>
      <c r="E157" s="3"/>
    </row>
    <row r="158" ht="34" customHeight="1">
      <c r="A158" s="3"/>
      <c r="B158" s="29" t="str">
        <v>Placement preferences and concerns</v>
      </c>
      <c r="C158" s="29" t="str">
        <v>Text or notes</v>
      </c>
      <c r="D158" s="29" t="str">
        <v>11 What matters next</v>
      </c>
      <c r="E158" s="3"/>
    </row>
    <row r="159" ht="34" customHeight="1">
      <c r="A159" s="3"/>
      <c r="B159" s="29" t="str">
        <v>Additional information</v>
      </c>
      <c r="C159" s="29" t="str">
        <v>Text or notes</v>
      </c>
      <c r="D159" s="29" t="str">
        <v>12 Anything else</v>
      </c>
      <c r="E159" s="3"/>
    </row>
    <row r="160" ht="34" customHeight="1">
      <c r="A160" s="3"/>
      <c r="B160" s="29" t="str">
        <v>Placement questions or concerns</v>
      </c>
      <c r="C160" s="29" t="str">
        <v>Text or notes</v>
      </c>
      <c r="D160" s="29" t="str">
        <v>12 Anything else</v>
      </c>
      <c r="E160" s="3"/>
    </row>
    <row r="161" ht="34" customHeight="1">
      <c r="A161" s="3"/>
      <c r="B161" s="29" t="str">
        <v>Assessment notes</v>
      </c>
      <c r="C161" s="29" t="str">
        <v>Text or notes</v>
      </c>
      <c r="D161" s="29" t="str">
        <v>12 Anything else</v>
      </c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</sheetData>
  <pageMargins left="0.7" right="0.7" top="0.75" bottom="0.75" header="0.3" footer="0.3"/>
</worksheet>
</file>