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fec502475c42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5be6794b0b94f28"/>
    <x:sheet xmlns:r="http://schemas.openxmlformats.org/officeDocument/2006/relationships" name="Client &amp; Referral" sheetId="2" r:id="R53fdf2a418c74433"/>
    <x:sheet xmlns:r="http://schemas.openxmlformats.org/officeDocument/2006/relationships" name="Placement" sheetId="3" r:id="R35a6c0f2b50d4b17"/>
    <x:sheet xmlns:r="http://schemas.openxmlformats.org/officeDocument/2006/relationships" name="History" sheetId="4" r:id="R0e6a33e0a15b4305"/>
    <x:sheet xmlns:r="http://schemas.openxmlformats.org/officeDocument/2006/relationships" name="Clinical" sheetId="5" r:id="R667f0d308288401d"/>
    <x:sheet xmlns:r="http://schemas.openxmlformats.org/officeDocument/2006/relationships" name="Function" sheetId="6" r:id="Rde7df3040b91417a"/>
    <x:sheet xmlns:r="http://schemas.openxmlformats.org/officeDocument/2006/relationships" name="Behavior &amp; Safety" sheetId="7" r:id="R5ad5d920beff4628"/>
    <x:sheet xmlns:r="http://schemas.openxmlformats.org/officeDocument/2006/relationships" name="Legal" sheetId="8" r:id="R861064204e9540f5"/>
    <x:sheet xmlns:r="http://schemas.openxmlformats.org/officeDocument/2006/relationships" name="Medication" sheetId="9" r:id="R9710c8067cb049f2"/>
    <x:sheet xmlns:r="http://schemas.openxmlformats.org/officeDocument/2006/relationships" name="Substance Use" sheetId="10" r:id="R3900023adffd4e21"/>
    <x:sheet xmlns:r="http://schemas.openxmlformats.org/officeDocument/2006/relationships" name="Physical Health" sheetId="11" r:id="Ra49ed8f66b054264"/>
    <x:sheet xmlns:r="http://schemas.openxmlformats.org/officeDocument/2006/relationships" name="Support &amp; Goals" sheetId="12" r:id="R35b71166f6704f26"/>
    <x:sheet xmlns:r="http://schemas.openxmlformats.org/officeDocument/2006/relationships" name="Review" sheetId="13" r:id="Re3f807376a124739"/>
    <x:sheet xmlns:r="http://schemas.openxmlformats.org/officeDocument/2006/relationships" name="Pipeline_Data" sheetId="14" r:id="Ree296ed4915d4bea"/>
    <x:sheet xmlns:r="http://schemas.openxmlformats.org/officeDocument/2006/relationships" name="Codebook" sheetId="15" r:id="R8d402d9e02b647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9">
    <x:font>
      <x:sz val="11"/>
      <x:name val="Carlito"/>
    </x:font>
    <x:font>
      <x:sz val="10"/>
      <x:color rgb="FF161616"/>
      <x:name val="Aptos"/>
    </x:font>
    <x:font>
      <x:b/>
      <x:sz val="20"/>
      <x:color rgb="FFFFFFFF"/>
      <x:name val="Aptos"/>
    </x:font>
    <x:font>
      <x:sz val="11"/>
      <x:color rgb="FF6F7472"/>
      <x:name val="Aptos"/>
    </x:font>
    <x:font>
      <x:b/>
      <x:sz val="10"/>
      <x:color rgb="FF161616"/>
      <x:name val="Aptos"/>
    </x:font>
    <x:font>
      <x:sz val="10"/>
      <x:color rgb="FF6F7472"/>
      <x:name val="Aptos"/>
    </x:font>
    <x:font>
      <x:b/>
      <x:sz val="10"/>
      <x:color rgb="FFFFFFFF"/>
      <x:name val="Aptos"/>
    </x:font>
    <x:font>
      <x:sz val="9"/>
      <x:color rgb="FF6F7472"/>
      <x:name val="Aptos"/>
    </x:font>
    <x:font>
      <x:sz val="9"/>
      <x:color rgb="FF161616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87F68"/>
      </x:patternFill>
    </x:fill>
    <x:fill>
      <x:patternFill patternType="solid">
        <x:fgColor rgb="FFE7F4F0"/>
      </x:patternFill>
    </x:fill>
    <x:fill>
      <x:patternFill patternType="solid">
        <x:fgColor rgb="FFF7F8F7"/>
      </x:patternFill>
    </x:fill>
    <x:fill>
      <x:patternFill patternType="solid">
        <x:fgColor rgb="FF161616"/>
      </x:patternFill>
    </x:fill>
    <x:fill>
      <x:patternFill patternType="solid">
        <x:fgColor rgb="FFFFF5B8"/>
      </x:patternFill>
    </x:fill>
    <x:fill>
      <x:patternFill patternType="solid">
        <x:fgColor rgb="FFFFFFFF"/>
      </x:patternFill>
    </x:fill>
    <x:fill>
      <x:patternFill patternType="solid">
        <x:fgColor rgb="FFFFF2B2"/>
      </x:patternFill>
    </x:fill>
    <x:fill>
      <x:patternFill patternType="solid">
        <x:fgColor rgb="FFF7F8F7"/>
      </x:patternFill>
    </x:fill>
  </x:fills>
  <x:borders count="12">
    <x:border/>
    <x:border>
      <x:left style="thin">
        <x:color rgb="FFD9DEDC"/>
      </x:left>
      <x:right style="thin">
        <x:color rgb="FFD9DEDC"/>
      </x:right>
      <x:top style="thin">
        <x:color rgb="FFD9DEDC"/>
      </x:top>
      <x:bottom style="thin">
        <x:color rgb="FFD9DEDC"/>
      </x:bottom>
    </x:border>
    <x:border>
      <x:left style="thin">
        <x:color rgb="FFD9DEDC"/>
      </x:left>
      <x:top style="thin">
        <x:color rgb="FFD9DEDC"/>
      </x:top>
    </x:border>
    <x:border>
      <x:top style="thin">
        <x:color rgb="FFD9DEDC"/>
      </x:top>
    </x:border>
    <x:border>
      <x:right style="thin">
        <x:color rgb="FFD9DEDC"/>
      </x:right>
      <x:top style="thin">
        <x:color rgb="FFD9DEDC"/>
      </x:top>
    </x:border>
    <x:border>
      <x:left style="thin">
        <x:color rgb="FFD9DEDC"/>
      </x:left>
    </x:border>
    <x:border>
      <x:right style="thin">
        <x:color rgb="FFD9DEDC"/>
      </x:right>
    </x:border>
    <x:border>
      <x:left style="thin">
        <x:color rgb="FFD9DEDC"/>
      </x:left>
      <x:bottom style="thin">
        <x:color rgb="FFD9DEDC"/>
      </x:bottom>
    </x:border>
    <x:border>
      <x:bottom style="thin">
        <x:color rgb="FFD9DEDC"/>
      </x:bottom>
    </x:border>
    <x:border>
      <x:right style="thin">
        <x:color rgb="FFD9DEDC"/>
      </x:right>
      <x:bottom style="thin">
        <x:color rgb="FFD9DEDC"/>
      </x:bottom>
    </x:border>
    <x:border>
      <x:left style="thin">
        <x:color rgb="FF161616"/>
      </x:left>
      <x:right style="thin">
        <x:color rgb="FF161616"/>
      </x:right>
      <x:top style="thin">
        <x:color rgb="FF161616"/>
      </x:top>
      <x:bottom style="thin">
        <x:color rgb="FF161616"/>
      </x:bottom>
    </x:border>
    <x:border>
      <x:left style="thin">
        <x:color rgb="FFD5C66D"/>
      </x:left>
      <x:right style="thin">
        <x:color rgb="FFD5C66D"/>
      </x:right>
      <x:top style="thin">
        <x:color rgb="FFD5C66D"/>
      </x:top>
      <x:bottom style="thin">
        <x:color rgb="FFD5C66D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" fillId="2" borderId="1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1" xfId="0" applyNumberFormat="1" applyFont="1" applyFill="1" applyBorder="1"/>
    <x:xf numFmtId="0" fontId="1" fillId="7" borderId="11" xfId="0" applyNumberFormat="1" applyFont="1" applyFill="1" applyBorder="1" applyAlignment="1">
      <x:alignment wrapText="1"/>
    </x:xf>
    <x:xf numFmtId="0" fontId="1" fillId="7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1" fillId="7" borderId="11" xfId="0" applyNumberFormat="1" applyFont="1" applyFill="1" applyBorder="1" applyAlignment="1">
      <x:alignment vertical="top" wrapText="1"/>
    </x:xf>
    <x:xf numFmtId="201" fontId="1" fillId="7" borderId="1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/>
    </x:xf>
    <x:xf numFmtId="0" fontId="8" fillId="2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35aa6ecfb42ab" /><Relationship Type="http://schemas.openxmlformats.org/officeDocument/2006/relationships/theme" Target="/xl/theme/theme1.xml" Id="Rb8e2a915c2584931" /><Relationship Type="http://schemas.microsoft.com/office/2022/11/relationships/FeaturePropertyBag" Target="/xl/featurePropertyBag/featurePropertyBag.xml" Id="R974d5ee031f548bf" /><Relationship Type="http://schemas.openxmlformats.org/officeDocument/2006/relationships/sharedStrings" Target="/xl/sharedStrings.xml" Id="R851d0e0e8c2e490d" /><Relationship Type="http://schemas.openxmlformats.org/officeDocument/2006/relationships/worksheet" Target="/xl/worksheets/sheet1.xml" Id="Rd5be6794b0b94f28" /><Relationship Type="http://schemas.openxmlformats.org/officeDocument/2006/relationships/worksheet" Target="/xl/worksheets/sheet2.xml" Id="R53fdf2a418c74433" /><Relationship Type="http://schemas.openxmlformats.org/officeDocument/2006/relationships/worksheet" Target="/xl/worksheets/sheet3.xml" Id="R35a6c0f2b50d4b17" /><Relationship Type="http://schemas.openxmlformats.org/officeDocument/2006/relationships/worksheet" Target="/xl/worksheets/sheet4.xml" Id="R0e6a33e0a15b4305" /><Relationship Type="http://schemas.openxmlformats.org/officeDocument/2006/relationships/worksheet" Target="/xl/worksheets/sheet5.xml" Id="R667f0d308288401d" /><Relationship Type="http://schemas.openxmlformats.org/officeDocument/2006/relationships/worksheet" Target="/xl/worksheets/sheet6.xml" Id="Rde7df3040b91417a" /><Relationship Type="http://schemas.openxmlformats.org/officeDocument/2006/relationships/worksheet" Target="/xl/worksheets/sheet7.xml" Id="R5ad5d920beff4628" /><Relationship Type="http://schemas.openxmlformats.org/officeDocument/2006/relationships/worksheet" Target="/xl/worksheets/sheet8.xml" Id="R861064204e9540f5" /><Relationship Type="http://schemas.openxmlformats.org/officeDocument/2006/relationships/worksheet" Target="/xl/worksheets/sheet9.xml" Id="R9710c8067cb049f2" /><Relationship Type="http://schemas.openxmlformats.org/officeDocument/2006/relationships/worksheet" Target="/xl/worksheets/sheet10.xml" Id="R3900023adffd4e21" /><Relationship Type="http://schemas.openxmlformats.org/officeDocument/2006/relationships/worksheet" Target="/xl/worksheets/sheet11.xml" Id="Ra49ed8f66b054264" /><Relationship Type="http://schemas.openxmlformats.org/officeDocument/2006/relationships/worksheet" Target="/xl/worksheets/sheet12.xml" Id="R35b71166f6704f26" /><Relationship Type="http://schemas.openxmlformats.org/officeDocument/2006/relationships/worksheet" Target="/xl/worksheets/sheet13.xml" Id="Re3f807376a124739" /><Relationship Type="http://schemas.openxmlformats.org/officeDocument/2006/relationships/worksheet" Target="/xl/worksheets/sheet14.xml" Id="Ree296ed4915d4bea" /><Relationship Type="http://schemas.openxmlformats.org/officeDocument/2006/relationships/worksheet" Target="/xl/worksheets/sheet15.xml" Id="R8d402d9e02b647f6" /><Relationship Type="http://schemas.microsoft.com/office/2017/10/relationships/person" Target="/xl/persons/person.xml" Id="R67fc06ea8d90494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Eric Wilson" id="{5496946F-58BA-462D-A088-85530E1C9D5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6" t="str">
        <x:v>Pipeline Assessment Workbook</x:v>
      </x:c>
      <x:c r="B1" s="6"/>
      <x:c r="C1" s="6"/>
      <x:c r="D1" s="6"/>
      <x:c r="E1" s="6"/>
      <x:c r="F1" s="6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6" customHeight="1">
      <x:c r="A4" s="8" t="str">
        <x:v>Complete the labeled tabs. Yellow cells are editable; Pipeline_Data consolidates every answer automatically for drag-and-drop import.</x:v>
      </x:c>
      <x:c r="B4" s="8"/>
      <x:c r="C4" s="8"/>
      <x:c r="D4" s="8"/>
      <x:c r="E4" s="8"/>
      <x:c r="F4" s="8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1" t="str">
        <x:v>Workbook version</x:v>
      </x:c>
      <x:c r="B6" s="12" t="str">
        <x:v>PIPELINE_ASSESSMENT_WORKBOOK_V1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11" t="str">
        <x:v>Total fields</x:v>
      </x:c>
      <x:c r="B7" s="12" t="n">
        <x:v>157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11" t="str">
        <x:v>Completed fields</x:v>
      </x:c>
      <x:c r="B8" s="12" t="n">
        <x:f>SUM('Pipeline_Data'!J6:J162)</x:f>
        <x:v>0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1" t="str">
        <x:v>Required fields</x:v>
      </x:c>
      <x:c r="B9" s="12" t="n">
        <x:v>55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11" t="str">
        <x:v>Completed required</x:v>
      </x:c>
      <x:c r="B10" s="12" t="n">
        <x:f>SUM('Pipeline_Data'!K6:K162)</x:f>
        <x:v>0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11" t="str">
        <x:v>Ready for Pipeline</x:v>
      </x:c>
      <x:c r="B11" s="12" t="str">
        <x:f>IF(B10=B9,"Yes","Not yet")</x:f>
        <x:v>Not yet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32" t="str">
        <x:v>Use one workbook per assessment. Keep the sheet names and Pipeline_Data mapping unchanged. For multi-select answers, enter machine values separated by semicolons. Upload the completed .xlsx directly into the assessment workspace; every imported answer remains pending until reviewed.</x:v>
      </x:c>
      <x:c r="B13" s="33"/>
      <x:c r="C13" s="33"/>
      <x:c r="D13" s="33"/>
      <x:c r="E13" s="33"/>
      <x:c r="F13" s="34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35"/>
      <x:c r="B14" s="36"/>
      <x:c r="C14" s="36"/>
      <x:c r="D14" s="36"/>
      <x:c r="E14" s="36"/>
      <x:c r="F14" s="37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38"/>
      <x:c r="B15" s="39"/>
      <x:c r="C15" s="39"/>
      <x:c r="D15" s="39"/>
      <x:c r="E15" s="39"/>
      <x:c r="F15" s="40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F2"/>
    <x:mergeCell ref="A4:F4"/>
    <x:mergeCell ref="A13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Client &amp; referral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Confirm identity, source, and where the client can be reached.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Identity</x:v>
      </x:c>
      <x:c r="B6" s="48" t="str">
        <x:v>Resident number</x:v>
      </x:c>
      <x:c r="C6" s="52"/>
      <x:c r="D6" s="56" t="str">
        <x:v>Enter the ElderMark resident number only when one already exists.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Identity</x:v>
      </x:c>
      <x:c r="B7" s="48" t="str">
        <x:v>Resident name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Identity</x:v>
      </x:c>
      <x:c r="B8" s="48" t="str">
        <x:v>Date of birth</x:v>
      </x:c>
      <x:c r="C8" s="57"/>
      <x:c r="D8" s="56" t="str">
        <x:v>Required before the assessment can be completed.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Identity</x:v>
      </x:c>
      <x:c r="B9" s="48" t="str">
        <x:v>Community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Interview</x:v>
      </x:c>
      <x:c r="B10" s="48" t="str">
        <x:v>Assessment date</x:v>
      </x:c>
      <x:c r="C10" s="57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Additional</x:v>
      </x:c>
      <x:c r="B11" s="48" t="str">
        <x:v>Assessor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Referral source</x:v>
      </x:c>
      <x:c r="B12" s="48" t="str">
        <x:v>Date referral received</x:v>
      </x:c>
      <x:c r="C12" s="57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Referral source</x:v>
      </x:c>
      <x:c r="B13" s="48" t="str">
        <x:v>Referrer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Referral source</x:v>
      </x:c>
      <x:c r="B14" s="48" t="str">
        <x:v>Referrer contact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Interview logistics</x:v>
      </x:c>
      <x:c r="B15" s="48" t="str">
        <x:v>Current location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Interview logistics</x:v>
      </x:c>
      <x:c r="B16" s="48" t="str">
        <x:v>Time at current location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Placement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the current setting and prior placement context.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placement</x:v>
      </x:c>
      <x:c r="B6" s="48" t="str">
        <x:v>Referring facility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placement</x:v>
      </x:c>
      <x:c r="B7" s="48" t="str">
        <x:v>Prior setting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placement</x:v>
      </x:c>
      <x:c r="B8" s="48" t="str">
        <x:v>County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placement</x:v>
      </x:c>
      <x:c r="B9" s="48" t="str">
        <x:v>Admit date</x:v>
      </x:c>
      <x:c r="C9" s="57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History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hospitalization, crisis, and placement trajectory.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Hospital and crisis history</x:v>
      </x:c>
      <x:c r="B6" s="48" t="str">
        <x:v>Prior hospitalizations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Hospital and crisis history</x:v>
      </x:c>
      <x:c r="B7" s="48" t="str">
        <x:v>Most recent hospitalization</x:v>
      </x:c>
      <x:c r="C7" s="57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Hospital and crisis history</x:v>
      </x:c>
      <x:c r="B8" s="48" t="str">
        <x:v>Prior 5150 / 5250 holds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Placement trajectory</x:v>
      </x:c>
      <x:c r="B9" s="48" t="str">
        <x:v>Prior placements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Hospital and crisis history</x:v>
      </x:c>
      <x:c r="B10" s="48" t="str">
        <x:v>Crisis / ER utilization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Placement trajectory</x:v>
      </x:c>
      <x:c r="B11" s="48" t="str">
        <x:v>Prior AWOL / failed placements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whole" operator="greaterThanOrEqual" sqref="C6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Clinical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diagnoses, symptoms, cognition, and current presentation.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Diagnoses</x:v>
      </x:c>
      <x:c r="B6" s="48" t="str">
        <x:v>Primary diagnosis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Diagnoses</x:v>
      </x:c>
      <x:c r="B7" s="48" t="str">
        <x:v>Secondary diagnoses</x:v>
      </x:c>
      <x:c r="C7" s="52"/>
      <x:c r="D7" s="56" t="str">
        <x:v>Enter one diagnosis per line.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Diagnoses</x:v>
      </x:c>
      <x:c r="B8" s="48" t="str">
        <x:v>Diagnosis categories</x:v>
      </x:c>
      <x:c r="C8" s="52"/>
      <x:c r="D8" s="56" t="str">
        <x:v>Use semicolons between selected machine values.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Diagnoses</x:v>
      </x:c>
      <x:c r="B9" s="48" t="str">
        <x:v>Other diagnosis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presentation</x:v>
      </x:c>
      <x:c r="B10" s="48" t="str">
        <x:v>Current symptoms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presentation</x:v>
      </x:c>
      <x:c r="B11" s="48" t="str">
        <x:v>Acuity level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presentation</x:v>
      </x:c>
      <x:c r="B12" s="48" t="str">
        <x:v>Cognition / orientation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list" sqref="C8">
      <x:formula1>"schizophrenia,schizoaffective,bipolar,personality_disorder,substance_use_disorder,psychosis,delusional_disorder,physical_health,other"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Function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ADLs, communication, mobility, and participation.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Daily living</x:v>
      </x:c>
      <x:c r="B6" s="48" t="str">
        <x:v>ADL needs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Daily living</x:v>
      </x:c>
      <x:c r="B7" s="48" t="str">
        <x:v>Prompting level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Mobility</x:v>
      </x:c>
      <x:c r="B8" s="48" t="str">
        <x:v>Mobility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Daily living</x:v>
      </x:c>
      <x:c r="B9" s="48" t="str">
        <x:v>Self-care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Daily living</x:v>
      </x:c>
      <x:c r="B10" s="48" t="str">
        <x:v>Ability to dress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Daily living</x:v>
      </x:c>
      <x:c r="B11" s="48" t="str">
        <x:v>Dressing assistance needed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Daily living</x:v>
      </x:c>
      <x:c r="B12" s="48" t="str">
        <x:v>Ability to bathe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Daily living</x:v>
      </x:c>
      <x:c r="B13" s="48" t="str">
        <x:v>Bathing assistance needed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Daily living</x:v>
      </x:c>
      <x:c r="B14" s="48" t="str">
        <x:v>Overall hygiene</x:v>
      </x:c>
      <x:c r="C14" s="52"/>
      <x:c r="D14" s="56" t="str">
        <x:v>1 indicates significant concern; 5 indicates strong hygiene.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Communication and participation</x:v>
      </x:c>
      <x:c r="B15" s="48" t="str">
        <x:v>Language barrier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Communication and participation</x:v>
      </x:c>
      <x:c r="B16" s="48" t="str">
        <x:v>Language support needed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Communication and participation</x:v>
      </x:c>
      <x:c r="B17" s="48" t="str">
        <x:v>Can hold a linear conversation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Communication and participation</x:v>
      </x:c>
      <x:c r="B18" s="48" t="str">
        <x:v>Conversation barriers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Communication and participation</x:v>
      </x:c>
      <x:c r="B19" s="48" t="str">
        <x:v>Interaction with peers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Communication and participation</x:v>
      </x:c>
      <x:c r="B20" s="48" t="str">
        <x:v>Peer interaction notes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Communication and participation</x:v>
      </x:c>
      <x:c r="B21" s="48" t="str">
        <x:v>Interaction with staff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Communication and participation</x:v>
      </x:c>
      <x:c r="B22" s="48" t="str">
        <x:v>Staff interaction notes</x:v>
      </x:c>
      <x:c r="C22" s="52"/>
      <x:c r="D22" s="56" t="str">
        <x:v>Optional; leave blank when not assessed.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Communication and participation</x:v>
      </x:c>
      <x:c r="B23" s="48" t="str">
        <x:v>Participates in programming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Communication and participation</x:v>
      </x:c>
      <x:c r="B24" s="48" t="str">
        <x:v>Programming notes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Mobility</x:v>
      </x:c>
      <x:c r="B25" s="48" t="str">
        <x:v>Ambulatory</x:v>
      </x:c>
      <x:c r="C25" s="52"/>
      <x:c r="D25" s="56" t="str">
        <x:v>Required before the assessment can be completed.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9">
    <x:dataValidation type="list" sqref="C10">
      <x:formula1>"independent,some_assistance,total_assistance"</x:formula1>
    </x:dataValidation>
    <x:dataValidation type="list" sqref="C12">
      <x:formula1>"independent,some_assistance,total_assistance"</x:formula1>
    </x:dataValidation>
    <x:dataValidation type="whole" operator="between" sqref="C14">
      <x:formula1>1</x:formula1>
      <x:formula2>5</x:formula2>
    </x:dataValidation>
    <x:dataValidation type="list" sqref="C15">
      <x:formula1>"yes,no,unable_to_assess"</x:formula1>
    </x:dataValidation>
    <x:dataValidation type="list" sqref="C17">
      <x:formula1>"yes,no,unable_to_assess"</x:formula1>
    </x:dataValidation>
    <x:dataValidation type="whole" operator="between" sqref="C19">
      <x:formula1>1</x:formula1>
      <x:formula2>5</x:formula2>
    </x:dataValidation>
    <x:dataValidation type="whole" operator="between" sqref="C21">
      <x:formula1>1</x:formula1>
      <x:formula2>5</x:formula2>
    </x:dataValidation>
    <x:dataValidation type="list" sqref="C23">
      <x:formula1>"yes,no,unable_to_assess"</x:formula1>
    </x:dataValidation>
    <x:dataValidation type="list" sqref="C25">
      <x:formula1>"yes,no,unable_to_assess"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Behavior &amp; safety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challenging behavior, self-harm, assaults, elopement, and hallucinations.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behavior</x:v>
      </x:c>
      <x:c r="B6" s="48" t="str">
        <x:v>Behavioral history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behavior</x:v>
      </x:c>
      <x:c r="B7" s="48" t="str">
        <x:v>Triggers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Assault and elopement</x:v>
      </x:c>
      <x:c r="B8" s="48" t="str">
        <x:v>SI / HI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Assault and elopement</x:v>
      </x:c>
      <x:c r="B9" s="48" t="str">
        <x:v>Elopement risk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Assault and elopement</x:v>
      </x:c>
      <x:c r="B10" s="48" t="str">
        <x:v>Aggression risk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Hallucination history</x:v>
      </x:c>
      <x:c r="B11" s="48" t="str">
        <x:v>Responds to internal stimuli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behavior</x:v>
      </x:c>
      <x:c r="B12" s="48" t="str">
        <x:v>Physical altercations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behavior</x:v>
      </x:c>
      <x:c r="B13" s="48" t="str">
        <x:v>Physical altercation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Self-harm</x:v>
      </x:c>
      <x:c r="B14" s="48" t="str">
        <x:v>History of self-harm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Self-harm</x:v>
      </x:c>
      <x:c r="B15" s="48" t="str">
        <x:v>Last documented self-harm incident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Self-harm</x:v>
      </x:c>
      <x:c r="B16" s="48" t="str">
        <x:v>Current self-harm ideation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Self-harm</x:v>
      </x:c>
      <x:c r="B17" s="48" t="str">
        <x:v>Current self-harm ideation details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Self-harm</x:v>
      </x:c>
      <x:c r="B18" s="48" t="str">
        <x:v>Current safety measures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Assault and elopement</x:v>
      </x:c>
      <x:c r="B19" s="48" t="str">
        <x:v>History of assaults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Assault and elopement</x:v>
      </x:c>
      <x:c r="B20" s="48" t="str">
        <x:v>Most recent assault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Assault and elopement</x:v>
      </x:c>
      <x:c r="B21" s="48" t="str">
        <x:v>Assaults in the last two years</x:v>
      </x:c>
      <x:c r="C21" s="52"/>
      <x:c r="D21" s="56" t="str">
        <x:v>Optional; leave blank when not assessed.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Assault and elopement</x:v>
      </x:c>
      <x:c r="B22" s="48" t="str">
        <x:v>History of elopement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Hallucination history</x:v>
      </x:c>
      <x:c r="B23" s="48" t="str">
        <x:v>Auditory hallucinations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Auditory hallucinations</x:v>
      </x:c>
      <x:c r="B24" s="48" t="str">
        <x:v>Nature of auditory hallucinations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Auditory hallucinations</x:v>
      </x:c>
      <x:c r="B25" s="48" t="str">
        <x:v>Current auditory frequency</x:v>
      </x:c>
      <x:c r="C25" s="52"/>
      <x:c r="D25" s="56" t="str">
        <x:v>Optional; leave blank when not assessed.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34" customHeight="1">
      <x:c r="A26" s="48" t="str">
        <x:v>Auditory hallucinations</x:v>
      </x:c>
      <x:c r="B26" s="48" t="str">
        <x:v>Auditory triggers</x:v>
      </x:c>
      <x:c r="C26" s="52"/>
      <x:c r="D26" s="56" t="str">
        <x:v>Optional; leave blank when not assessed.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34" customHeight="1">
      <x:c r="A27" s="48" t="str">
        <x:v>Hallucination history</x:v>
      </x:c>
      <x:c r="B27" s="48" t="str">
        <x:v>Visual hallucinations</x:v>
      </x:c>
      <x:c r="C27" s="52"/>
      <x:c r="D27" s="56" t="str">
        <x:v>Required before the assessment can be completed.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4" customHeight="1">
      <x:c r="A28" s="48" t="str">
        <x:v>Visual hallucinations</x:v>
      </x:c>
      <x:c r="B28" s="48" t="str">
        <x:v>Nature and frequency of visual hallucinations</x:v>
      </x:c>
      <x:c r="C28" s="52"/>
      <x:c r="D28" s="56" t="str">
        <x:v>Optional; leave blank when not assessed.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4" customHeight="1">
      <x:c r="A29" s="48" t="str">
        <x:v>Visual hallucinations</x:v>
      </x:c>
      <x:c r="B29" s="48" t="str">
        <x:v>Recent visual hallucinations</x:v>
      </x:c>
      <x:c r="C29" s="52"/>
      <x:c r="D29" s="56" t="str">
        <x:v>Optional; leave blank when not assessed.</x:v>
      </x:c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4" customHeight="1">
      <x:c r="A30" s="48" t="str">
        <x:v>Hallucination history</x:v>
      </x:c>
      <x:c r="B30" s="48" t="str">
        <x:v>Olfactory hallucinations</x:v>
      </x:c>
      <x:c r="C30" s="52"/>
      <x:c r="D30" s="56" t="str">
        <x:v>Required before the assessment can be completed.</x:v>
      </x:c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4" customHeight="1">
      <x:c r="A31" s="48" t="str">
        <x:v>Olfactory hallucinations</x:v>
      </x:c>
      <x:c r="B31" s="48" t="str">
        <x:v>Olfactory hallucination details</x:v>
      </x:c>
      <x:c r="C31" s="52"/>
      <x:c r="D31" s="56" t="str">
        <x:v>Optional; leave blank when not assessed.</x:v>
      </x:c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34" customHeight="1">
      <x:c r="A32" s="48" t="str">
        <x:v>Olfactory hallucinations</x:v>
      </x:c>
      <x:c r="B32" s="48" t="str">
        <x:v>Impact of olfactory hallucinations</x:v>
      </x:c>
      <x:c r="C32" s="52"/>
      <x:c r="D32" s="56" t="str">
        <x:v>Optional; leave blank when not assessed.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34" customHeight="1">
      <x:c r="A33" s="48" t="str">
        <x:v>Hallucination history</x:v>
      </x:c>
      <x:c r="B33" s="48" t="str">
        <x:v>Tactile hallucinations</x:v>
      </x:c>
      <x:c r="C33" s="52"/>
      <x:c r="D33" s="56" t="str">
        <x:v>Required before the assessment can be completed.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34" customHeight="1">
      <x:c r="A34" s="48" t="str">
        <x:v>Tactile hallucinations</x:v>
      </x:c>
      <x:c r="B34" s="48" t="str">
        <x:v>Tactile hallucination details</x:v>
      </x:c>
      <x:c r="C34" s="52"/>
      <x:c r="D34" s="56" t="str">
        <x:v>Optional; leave blank when not assessed.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34" customHeight="1">
      <x:c r="A35" s="48" t="str">
        <x:v>Tactile hallucinations</x:v>
      </x:c>
      <x:c r="B35" s="48" t="str">
        <x:v>Tactile hallucination frequency</x:v>
      </x:c>
      <x:c r="C35" s="52"/>
      <x:c r="D35" s="56" t="str">
        <x:v>Optional; leave blank when not assessed.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34" customHeight="1">
      <x:c r="A36" s="48" t="str">
        <x:v>Hallucination history</x:v>
      </x:c>
      <x:c r="B36" s="48" t="str">
        <x:v>Gustatory hallucinations</x:v>
      </x:c>
      <x:c r="C36" s="52"/>
      <x:c r="D36" s="56" t="str">
        <x:v>Required before the assessment can be completed.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34" customHeight="1">
      <x:c r="A37" s="48" t="str">
        <x:v>Gustatory hallucinations</x:v>
      </x:c>
      <x:c r="B37" s="48" t="str">
        <x:v>Gustatory hallucination details</x:v>
      </x:c>
      <x:c r="C37" s="52"/>
      <x:c r="D37" s="56" t="str">
        <x:v>Optional; leave blank when not assessed.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34" customHeight="1">
      <x:c r="A38" s="48" t="str">
        <x:v>Hallucination impact and treatment</x:v>
      </x:c>
      <x:c r="B38" s="48" t="str">
        <x:v>Hallucination coping strategies</x:v>
      </x:c>
      <x:c r="C38" s="52"/>
      <x:c r="D38" s="56" t="str">
        <x:v>Optional; leave blank when not assessed.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34" customHeight="1">
      <x:c r="A39" s="48" t="str">
        <x:v>Hallucination impact and treatment</x:v>
      </x:c>
      <x:c r="B39" s="48" t="str">
        <x:v>Hallucination distress or impairment</x:v>
      </x:c>
      <x:c r="C39" s="52"/>
      <x:c r="D39" s="56" t="str">
        <x:v>Optional; leave blank when not assessed.</x:v>
      </x:c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34" customHeight="1">
      <x:c r="A40" s="48" t="str">
        <x:v>Hallucination impact and treatment</x:v>
      </x:c>
      <x:c r="B40" s="48" t="str">
        <x:v>Impact on daily functioning</x:v>
      </x:c>
      <x:c r="C40" s="52"/>
      <x:c r="D40" s="56" t="str">
        <x:v>Optional; leave blank when not assessed.</x:v>
      </x:c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34" customHeight="1">
      <x:c r="A41" s="48" t="str">
        <x:v>Hallucination impact and treatment</x:v>
      </x:c>
      <x:c r="B41" s="48" t="str">
        <x:v>Professional discussion and treatment</x:v>
      </x:c>
      <x:c r="C41" s="52"/>
      <x:c r="D41" s="56" t="str">
        <x:v>Optional; leave blank when not assessed.</x:v>
      </x:c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1"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6">
      <x:formula1>"yes,no,unable_to_assess"</x:formula1>
    </x:dataValidation>
    <x:dataValidation type="list" sqref="C19">
      <x:formula1>"yes,no,unable_to_assess"</x:formula1>
    </x:dataValidation>
    <x:dataValidation type="whole" operator="greaterThanOrEqual" sqref="C21">
      <x:formula1>0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  <x:dataValidation type="list" sqref="C27">
      <x:formula1>"yes,no,unable_to_assess"</x:formula1>
    </x:dataValidation>
    <x:dataValidation type="list" sqref="C30">
      <x:formula1>"yes,no,unable_to_assess"</x:formula1>
    </x:dataValidation>
    <x:dataValidation type="list" sqref="C33">
      <x:formula1>"yes,no,unable_to_assess"</x:formula1>
    </x:dataValidation>
    <x:dataValidation type="list" sqref="C36">
      <x:formula1>"yes,no,unable_to_assess"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Legal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conservatorship, forensic history, and court requirements.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Conservatorship</x:v>
      </x:c>
      <x:c r="B6" s="48" t="str">
        <x:v>Conservatorship status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Conservatorship</x:v>
      </x:c>
      <x:c r="B7" s="48" t="str">
        <x:v>Conservatorship type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Conservatorship</x:v>
      </x:c>
      <x:c r="B8" s="48" t="str">
        <x:v>Conservator name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Conservatorship</x:v>
      </x:c>
      <x:c r="B9" s="48" t="str">
        <x:v>Hold type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Court requirements</x:v>
      </x:c>
      <x:c r="B10" s="48" t="str">
        <x:v>Court dates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Court requirements</x:v>
      </x:c>
      <x:c r="B11" s="48" t="str">
        <x:v>Probation / parole / justice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Forensic history</x:v>
      </x:c>
      <x:c r="B12" s="48" t="str">
        <x:v>Forensic involvement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Forensic history</x:v>
      </x:c>
      <x:c r="B13" s="48" t="str">
        <x:v>Forensic involvement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Arrest history</x:v>
      </x:c>
      <x:c r="B14" s="48" t="str">
        <x:v>History of arrest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Arrest history</x:v>
      </x:c>
      <x:c r="B15" s="48" t="str">
        <x:v>Most recent arrest date</x:v>
      </x:c>
      <x:c r="C15" s="57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Arrest history</x:v>
      </x:c>
      <x:c r="B16" s="48" t="str">
        <x:v>Most recent arrest charge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Arrest history</x:v>
      </x:c>
      <x:c r="B17" s="48" t="str">
        <x:v>Time in jail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Arrest history</x:v>
      </x:c>
      <x:c r="B18" s="48" t="str">
        <x:v>Arrest in the last two years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Arrest history</x:v>
      </x:c>
      <x:c r="B19" s="48" t="str">
        <x:v>Recent arrest details</x:v>
      </x:c>
      <x:c r="C19" s="52"/>
      <x:c r="D19" s="56" t="str">
        <x:v>Optional; leave blank when not assessed.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Arrest history</x:v>
      </x:c>
      <x:c r="B20" s="48" t="str">
        <x:v>Total recorded arrests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Forensic requirements</x:v>
      </x:c>
      <x:c r="B21" s="48" t="str">
        <x:v>PC 290 registration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Forensic requirements</x:v>
      </x:c>
      <x:c r="B22" s="48" t="str">
        <x:v>Arson history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Forensic requirements</x:v>
      </x:c>
      <x:c r="B23" s="48" t="str">
        <x:v>Diversion client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Court requirements</x:v>
      </x:c>
      <x:c r="B24" s="48" t="str">
        <x:v>Court requirements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8">
    <x:dataValidation type="list" sqref="C7">
      <x:formula1>"non_conserved,lps,temporary,murphy"</x:formula1>
    </x:dataValidation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8">
      <x:formula1>"yes,no,unable_to_assess"</x:formula1>
    </x:dataValidation>
    <x:dataValidation type="whole" operator="greaterThanOrEqual" sqref="C20">
      <x:formula1>0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Medication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Review medication use, refusals, and injection needs.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Medication profile</x:v>
      </x:c>
      <x:c r="B6" s="48" t="str">
        <x:v>Medications at intake</x:v>
      </x:c>
      <x:c r="C6" s="52"/>
      <x:c r="D6" s="56" t="str">
        <x:v>Enter one medication per line.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Medication compliance</x:v>
      </x:c>
      <x:c r="B7" s="48" t="str">
        <x:v>Medication compliant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Medication profile</x:v>
      </x:c>
      <x:c r="B8" s="48" t="str">
        <x:v>LAI vs oral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Medication profile</x:v>
      </x:c>
      <x:c r="B9" s="48" t="str">
        <x:v>PRN patterns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Medication refusals</x:v>
      </x:c>
      <x:c r="B10" s="48" t="str">
        <x:v>Date of last medication refusal</x:v>
      </x:c>
      <x:c r="C10" s="57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Medication refusals</x:v>
      </x:c>
      <x:c r="B11" s="48" t="str">
        <x:v>Medication refused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Medication refusals</x:v>
      </x:c>
      <x:c r="B12" s="48" t="str">
        <x:v>Refusals in the last 30 days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Medication profile</x:v>
      </x:c>
      <x:c r="B13" s="48" t="str">
        <x:v>IM injections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 t="str">
        <x:v>Medication profile</x:v>
      </x:c>
      <x:c r="B14" s="2" t="str">
        <x:v>Injection details</x:v>
      </x:c>
      <x:c r="C14" s="2"/>
      <x:c r="D14" s="2" t="str">
        <x:v>Complete when IM injections is Yes. Record medication, frequency, and reason.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3">
    <x:dataValidation type="list" sqref="C7">
      <x:formula1>"yes,no,unable_to_assess"</x:formula1>
    </x:dataValidation>
    <x:dataValidation type="whole" operator="greaterThanOrEqual" sqref="C12">
      <x:formula1>0</x:formula1>
    </x:dataValidation>
    <x:dataValidation type="list" sqref="C13">
      <x:formula1>"yes,no,unable_to_assess"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Substance use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use history, current use, frequency, and insight.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Use pattern</x:v>
      </x:c>
      <x:c r="B6" s="48" t="str">
        <x:v>Substances</x:v>
      </x:c>
      <x:c r="C6" s="52"/>
      <x:c r="D6" s="56" t="str">
        <x:v>Use semicolons between selected machine values.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Use pattern</x:v>
      </x:c>
      <x:c r="B7" s="48" t="str">
        <x:v>Use pattern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Recovery history</x:v>
      </x:c>
      <x:c r="B8" s="48" t="str">
        <x:v>Treatment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Substance-use history</x:v>
      </x:c>
      <x:c r="B9" s="48" t="str">
        <x:v>History of substance abuse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Substance-use history</x:v>
      </x:c>
      <x:c r="B10" s="48" t="str">
        <x:v>Active substance use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Use pattern</x:v>
      </x:c>
      <x:c r="B11" s="48" t="str">
        <x:v>Last substance use</x:v>
      </x:c>
      <x:c r="C11" s="57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Use pattern</x:v>
      </x:c>
      <x:c r="B12" s="48" t="str">
        <x:v>Effect on baseline behavior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Recovery history</x:v>
      </x:c>
      <x:c r="B13" s="48" t="str">
        <x:v>Longest sobriety in the last five years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Recovery history</x:v>
      </x:c>
      <x:c r="B14" s="48" t="str">
        <x:v>Insight into substance use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Recovery history</x:v>
      </x:c>
      <x:c r="B15" s="48" t="str">
        <x:v>Substance-use insight details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 t="str">
        <x:v>Recovery history</x:v>
      </x:c>
      <x:c r="B16" s="2" t="str">
        <x:v>Longest sobriety period</x:v>
      </x:c>
      <x:c r="C16" s="2"/>
      <x:c r="D16" s="2" t="str">
        <x:v>Choose months or years. More than 2 years is a range, not an exact duration.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7">
    <x:dataValidation type="list" sqref="C6">
      <x:formula1>"opioids,amphetamines,marijuana,alcohol,other"</x:formula1>
    </x:dataValidation>
    <x:dataValidation type="list" sqref="C7">
      <x:formula1>"daily,weekly,sporadic,rarely"</x:formula1>
    </x:dataValidation>
    <x:dataValidation type="list" sqref="C9">
      <x:formula1>"yes,no,unable_to_assess"</x:formula1>
    </x:dataValidation>
    <x:dataValidation type="list" sqref="C10">
      <x:formula1>"yes,no,unable_to_assess"</x:formula1>
    </x:dataValidation>
    <x:dataValidation type="whole" operator="greaterThanOrEqual" sqref="C13">
      <x:formula1>0</x:formula1>
    </x:dataValidation>
    <x:dataValidation type="list" sqref="C14">
      <x:formula1>"yes,no,unable_to_assess"</x:formula1>
    </x:dataValidation>
    <x:dataValidation type="list" sqref="C16">
      <x:formula1>"1 month,2 months,3 months,4 months,5 months,6 months,7 months,8 months,9 months,10 months,11 months,1 year,18 months,2 years,More than 2 years"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Physical health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health concerns, diet, skin integrity, and supportive equipment.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health</x:v>
      </x:c>
      <x:c r="B6" s="48" t="str">
        <x:v>Physical health concerns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health</x:v>
      </x:c>
      <x:c r="B7" s="48" t="str">
        <x:v>Physical health diagnoses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health</x:v>
      </x:c>
      <x:c r="B8" s="48" t="str">
        <x:v>Current health measures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health</x:v>
      </x:c>
      <x:c r="B9" s="48" t="str">
        <x:v>Diabetic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health</x:v>
      </x:c>
      <x:c r="B10" s="48" t="str">
        <x:v>Diabetes care details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health</x:v>
      </x:c>
      <x:c r="B11" s="48" t="str">
        <x:v>Special diet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health</x:v>
      </x:c>
      <x:c r="B12" s="48" t="str">
        <x:v>Dietary restrictions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health</x:v>
      </x:c>
      <x:c r="B13" s="48" t="str">
        <x:v>Skin integrity issue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Current health</x:v>
      </x:c>
      <x:c r="B14" s="48" t="str">
        <x:v>Skin integrity details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Supportive equipment</x:v>
      </x:c>
      <x:c r="B15" s="48" t="str">
        <x:v>Dentures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Supportive equipment</x:v>
      </x:c>
      <x:c r="B16" s="48" t="str">
        <x:v>Hearing aids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Supportive equipment</x:v>
      </x:c>
      <x:c r="B17" s="48" t="str">
        <x:v>Glasses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Supportive equipment</x:v>
      </x:c>
      <x:c r="B18" s="48" t="str">
        <x:v>Oxygen</x:v>
      </x:c>
      <x:c r="C18" s="52"/>
      <x:c r="D18" s="56" t="str">
        <x:v>Required before the assessment can be completed.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Supportive equipment</x:v>
      </x:c>
      <x:c r="B19" s="48" t="str">
        <x:v>Hospital bed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Supportive equipment</x:v>
      </x:c>
      <x:c r="B20" s="48" t="str">
        <x:v>CPAP</x:v>
      </x:c>
      <x:c r="C20" s="52"/>
      <x:c r="D20" s="56" t="str">
        <x:v>Required before the assessment can be completed.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Supportive equipment</x:v>
      </x:c>
      <x:c r="B21" s="48" t="str">
        <x:v>Catheter care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Supportive equipment</x:v>
      </x:c>
      <x:c r="B22" s="48" t="str">
        <x:v>Colostomy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Supportive equipment</x:v>
      </x:c>
      <x:c r="B23" s="48" t="str">
        <x:v>Ileostomy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Continence</x:v>
      </x:c>
      <x:c r="B24" s="48" t="str">
        <x:v>Incontinence issues</x:v>
      </x:c>
      <x:c r="C24" s="52"/>
      <x:c r="D24" s="56" t="str">
        <x:v>Required before the assessment can be completed.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72" t="str">
        <x:v>Continence</x:v>
      </x:c>
      <x:c r="B25" s="72" t="str">
        <x:v>Support</x:v>
      </x:c>
      <x:c r="C25" s="75"/>
      <x:c r="D25" s="79" t="str">
        <x:v>Required when incontinence issues are reported.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34" customHeight="1">
      <x:c r="A26" s="72" t="str">
        <x:v>Additional health</x:v>
      </x:c>
      <x:c r="B26" s="72" t="str">
        <x:v>Additional health information</x:v>
      </x:c>
      <x:c r="C26" s="75"/>
      <x:c r="D26" s="79" t="str">
        <x:v>Optional; leave blank when not assessed.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5">
    <x:dataValidation type="list" sqref="C6">
      <x:formula1>"yes,no,unable_to_assess"</x:formula1>
    </x:dataValidation>
    <x:dataValidation type="list" sqref="C9">
      <x:formula1>"yes,no,unable_to_assess"</x:formula1>
    </x:dataValidation>
    <x:dataValidation type="list" sqref="C11">
      <x:formula1>"yes,no,unable_to_assess"</x:formula1>
    </x:dataValidation>
    <x:dataValidation type="list" sqref="C13">
      <x:formula1>"yes,no,unable_to_assess"</x:formula1>
    </x:dataValidation>
    <x:dataValidation type="list" sqref="C15">
      <x:formula1>"yes,no,unable_to_assess"</x:formula1>
    </x:dataValidation>
    <x:dataValidation type="list" sqref="C16">
      <x:formula1>"yes,no,unable_to_assess"</x:formula1>
    </x:dataValidation>
    <x:dataValidation type="list" sqref="C17">
      <x:formula1>"yes,no,unable_to_assess"</x:formula1>
    </x:dataValidation>
    <x:dataValidation type="list" sqref="C18">
      <x:formula1>"yes,no,unable_to_assess"</x:formula1>
    </x:dataValidation>
    <x:dataValidation type="list" sqref="C19">
      <x:formula1>"yes,no,unable_to_assess"</x:formula1>
    </x:dataValidation>
    <x:dataValidation type="list" sqref="C20">
      <x:formula1>"yes,no,unable_to_assess"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  <x:dataValidation type="list" sqref="C25">
      <x:formula1>"independently_changes_briefs,needs_help_changing_briefs,needs_briefs_changed"</x:formula1>
    </x:dataValidation>
    <x:dataValidation type="list" sqref="C24">
      <x:formula1>"yes,no,unable_to_assess"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Support &amp; goals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relationships, prior living stability, and placement preferences.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Support system</x:v>
      </x:c>
      <x:c r="B6" s="48" t="str">
        <x:v>Family involvement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Living history</x:v>
      </x:c>
      <x:c r="B7" s="48" t="str">
        <x:v>Housing history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Living history</x:v>
      </x:c>
      <x:c r="B8" s="48" t="str">
        <x:v>Prior living situation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Living history</x:v>
      </x:c>
      <x:c r="B9" s="48" t="str">
        <x:v>Benefits / income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Preferences and goals</x:v>
      </x:c>
      <x:c r="B10" s="48" t="str">
        <x:v>Discharge planning goals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Support system</x:v>
      </x:c>
      <x:c r="B11" s="48" t="str">
        <x:v>Friendships and social connections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Preferences and goals</x:v>
      </x:c>
      <x:c r="B12" s="48" t="str">
        <x:v>Preferred facility characteristics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Preferences and goals</x:v>
      </x:c>
      <x:c r="B13" s="48" t="str">
        <x:v>Placement preferences and concerns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Review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Add information and placement questions that do not fit elsewhere.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Additional comments</x:v>
      </x:c>
      <x:c r="B6" s="48" t="str">
        <x:v>Additional information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Additional comments</x:v>
      </x:c>
      <x:c r="B7" s="48" t="str">
        <x:v>Placement questions or concerns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Additional</x:v>
      </x:c>
      <x:c r="B8" s="48" t="str">
        <x:v>Unable-to-assess explanations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Additional</x:v>
      </x:c>
      <x:c r="B9" s="48" t="str">
        <x:v>Source file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Additional</x:v>
      </x:c>
      <x:c r="B10" s="48" t="str">
        <x:v>Match confidence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Assessment notes</x:v>
      </x:c>
      <x:c r="B11" s="48" t="str">
        <x:v>Assessment notes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Additional</x:v>
      </x:c>
      <x:c r="B12" s="48" t="str">
        <x:v>Extraction date</x:v>
      </x:c>
      <x:c r="C12" s="58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4" hidden="0" customWidth="1"/>
    <x:col min="10" max="10" width="22" hidden="0" customWidth="1"/>
    <x:col min="11" max="11" width="22" hidden="0" customWidth="1"/>
  </x:cols>
  <x:sheetData>
    <x:row r="1">
      <x:c r="A1" s="6" t="str">
        <x:v>Pipeline Data Consolidation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2" t="str">
        <x:v>Do not edit this sheet. Pipeline reads each answer from the fixed source cell listed below.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schema_version</x:v>
      </x:c>
      <x:c r="B5" s="46" t="str">
        <x:v>field_key</x:v>
      </x:c>
      <x:c r="C5" s="46" t="str">
        <x:v>label</x:v>
      </x:c>
      <x:c r="D5" s="46" t="str">
        <x:v>section</x:v>
      </x:c>
      <x:c r="E5" s="46" t="str">
        <x:v>value_type</x:v>
      </x:c>
      <x:c r="F5" s="46" t="str">
        <x:v>required</x:v>
      </x:c>
      <x:c r="G5" s="46" t="str">
        <x:v>source_sheet</x:v>
      </x:c>
      <x:c r="H5" s="46" t="str">
        <x:v>source_cell</x:v>
      </x:c>
      <x:c r="I5" s="46" t="str">
        <x:v>value</x:v>
      </x:c>
      <x:c r="J5" s="46" t="str">
        <x:v>completed_flag</x:v>
      </x:c>
      <x:c r="K5" s="46" t="str">
        <x:v>required_complete_flag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4" t="str">
        <x:v>PIPELINE_ASSESSMENT_WORKBOOK_V1</x:v>
      </x:c>
      <x:c r="B6" s="64" t="str">
        <x:v>resident_number</x:v>
      </x:c>
      <x:c r="C6" s="64" t="str">
        <x:v>Resident number</x:v>
      </x:c>
      <x:c r="D6" s="64" t="str">
        <x:v>identity</x:v>
      </x:c>
      <x:c r="E6" s="64" t="str">
        <x:v>string</x:v>
      </x:c>
      <x:c r="F6" s="65" t="b">
        <x:v>0</x:v>
      </x:c>
      <x:c r="G6" s="64" t="str">
        <x:v>Client &amp; Referral</x:v>
      </x:c>
      <x:c r="H6" s="64" t="str">
        <x:v>C6</x:v>
      </x:c>
      <x:c r="I6" s="64" t="str">
        <x:f>IF('Client &amp; Referral'!C6="","",'Client &amp; Referral'!C6)</x:f>
      </x:c>
      <x:c r="J6" s="64" t="n">
        <x:f>IF(LEN(I6)&gt;0,1,0)</x:f>
        <x:v>0</x:v>
      </x:c>
      <x:c r="K6" s="64" t="n">
        <x:f>IF(AND(F6=TRUE,LEN(I6)&gt;0),1,0)</x:f>
        <x:v>0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4" t="str">
        <x:v>PIPELINE_ASSESSMENT_WORKBOOK_V1</x:v>
      </x:c>
      <x:c r="B7" s="64" t="str">
        <x:v>resident_name</x:v>
      </x:c>
      <x:c r="C7" s="64" t="str">
        <x:v>Resident name</x:v>
      </x:c>
      <x:c r="D7" s="64" t="str">
        <x:v>identity</x:v>
      </x:c>
      <x:c r="E7" s="64" t="str">
        <x:v>string</x:v>
      </x:c>
      <x:c r="F7" s="65" t="b">
        <x:v>1</x:v>
      </x:c>
      <x:c r="G7" s="64" t="str">
        <x:v>Client &amp; Referral</x:v>
      </x:c>
      <x:c r="H7" s="64" t="str">
        <x:v>C7</x:v>
      </x:c>
      <x:c r="I7" s="64" t="str">
        <x:f>IF('Client &amp; Referral'!C7="","",'Client &amp; Referral'!C7)</x:f>
      </x:c>
      <x:c r="J7" s="64" t="n">
        <x:f>IF(LEN(I7)&gt;0,1,0)</x:f>
        <x:v>0</x:v>
      </x:c>
      <x:c r="K7" s="64" t="n">
        <x:f>IF(AND(F7=TRUE,LEN(I7)&gt;0),1,0)</x:f>
        <x:v>0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4" t="str">
        <x:v>PIPELINE_ASSESSMENT_WORKBOOK_V1</x:v>
      </x:c>
      <x:c r="B8" s="64" t="str">
        <x:v>date_of_birth</x:v>
      </x:c>
      <x:c r="C8" s="64" t="str">
        <x:v>Date of birth</x:v>
      </x:c>
      <x:c r="D8" s="64" t="str">
        <x:v>identity</x:v>
      </x:c>
      <x:c r="E8" s="64" t="str">
        <x:v>date</x:v>
      </x:c>
      <x:c r="F8" s="65" t="b">
        <x:v>1</x:v>
      </x:c>
      <x:c r="G8" s="64" t="str">
        <x:v>Client &amp; Referral</x:v>
      </x:c>
      <x:c r="H8" s="64" t="str">
        <x:v>C8</x:v>
      </x:c>
      <x:c r="I8" s="64" t="str">
        <x:f>IF('Client &amp; Referral'!C8="","",'Client &amp; Referral'!C8)</x:f>
      </x:c>
      <x:c r="J8" s="64" t="n">
        <x:f>IF(LEN(I8)&gt;0,1,0)</x:f>
        <x:v>0</x:v>
      </x:c>
      <x:c r="K8" s="64" t="n">
        <x:f>IF(AND(F8=TRUE,LEN(I8)&gt;0),1,0)</x:f>
        <x:v>0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4" t="str">
        <x:v>PIPELINE_ASSESSMENT_WORKBOOK_V1</x:v>
      </x:c>
      <x:c r="B9" s="64" t="str">
        <x:v>community</x:v>
      </x:c>
      <x:c r="C9" s="64" t="str">
        <x:v>Community</x:v>
      </x:c>
      <x:c r="D9" s="64" t="str">
        <x:v>identity</x:v>
      </x:c>
      <x:c r="E9" s="64" t="str">
        <x:v>string</x:v>
      </x:c>
      <x:c r="F9" s="65" t="b">
        <x:v>1</x:v>
      </x:c>
      <x:c r="G9" s="64" t="str">
        <x:v>Client &amp; Referral</x:v>
      </x:c>
      <x:c r="H9" s="64" t="str">
        <x:v>C9</x:v>
      </x:c>
      <x:c r="I9" s="64" t="str">
        <x:f>IF('Client &amp; Referral'!C9="","",'Client &amp; Referral'!C9)</x:f>
      </x:c>
      <x:c r="J9" s="64" t="n">
        <x:f>IF(LEN(I9)&gt;0,1,0)</x:f>
        <x:v>0</x:v>
      </x:c>
      <x:c r="K9" s="64" t="n">
        <x:f>IF(AND(F9=TRUE,LEN(I9)&gt;0),1,0)</x:f>
        <x:v>0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4" t="str">
        <x:v>PIPELINE_ASSESSMENT_WORKBOOK_V1</x:v>
      </x:c>
      <x:c r="B10" s="64" t="str">
        <x:v>assessment_date</x:v>
      </x:c>
      <x:c r="C10" s="64" t="str">
        <x:v>Assessment date</x:v>
      </x:c>
      <x:c r="D10" s="64" t="str">
        <x:v>identity</x:v>
      </x:c>
      <x:c r="E10" s="64" t="str">
        <x:v>date</x:v>
      </x:c>
      <x:c r="F10" s="65" t="b">
        <x:v>1</x:v>
      </x:c>
      <x:c r="G10" s="64" t="str">
        <x:v>Client &amp; Referral</x:v>
      </x:c>
      <x:c r="H10" s="64" t="str">
        <x:v>C10</x:v>
      </x:c>
      <x:c r="I10" s="64" t="str">
        <x:f>IF('Client &amp; Referral'!C10="","",'Client &amp; Referral'!C10)</x:f>
      </x:c>
      <x:c r="J10" s="64" t="n">
        <x:f>IF(LEN(I10)&gt;0,1,0)</x:f>
        <x:v>0</x:v>
      </x:c>
      <x:c r="K10" s="64" t="n">
        <x:f>IF(AND(F10=TRUE,LEN(I10)&gt;0),1,0)</x:f>
        <x:v>0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4" t="str">
        <x:v>PIPELINE_ASSESSMENT_WORKBOOK_V1</x:v>
      </x:c>
      <x:c r="B11" s="64" t="str">
        <x:v>assessor</x:v>
      </x:c>
      <x:c r="C11" s="64" t="str">
        <x:v>Assessor</x:v>
      </x:c>
      <x:c r="D11" s="64" t="str">
        <x:v>identity</x:v>
      </x:c>
      <x:c r="E11" s="64" t="str">
        <x:v>string</x:v>
      </x:c>
      <x:c r="F11" s="65" t="b">
        <x:v>1</x:v>
      </x:c>
      <x:c r="G11" s="64" t="str">
        <x:v>Client &amp; Referral</x:v>
      </x:c>
      <x:c r="H11" s="64" t="str">
        <x:v>C11</x:v>
      </x:c>
      <x:c r="I11" s="64" t="str">
        <x:f>IF('Client &amp; Referral'!C11="","",'Client &amp; Referral'!C11)</x:f>
      </x:c>
      <x:c r="J11" s="64" t="n">
        <x:f>IF(LEN(I11)&gt;0,1,0)</x:f>
        <x:v>0</x:v>
      </x:c>
      <x:c r="K11" s="64" t="n">
        <x:f>IF(AND(F11=TRUE,LEN(I11)&gt;0),1,0)</x:f>
        <x:v>0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4" t="str">
        <x:v>PIPELINE_ASSESSMENT_WORKBOOK_V1</x:v>
      </x:c>
      <x:c r="B12" s="64" t="str">
        <x:v>referral_received_date</x:v>
      </x:c>
      <x:c r="C12" s="64" t="str">
        <x:v>Date referral received</x:v>
      </x:c>
      <x:c r="D12" s="64" t="str">
        <x:v>identity</x:v>
      </x:c>
      <x:c r="E12" s="64" t="str">
        <x:v>date</x:v>
      </x:c>
      <x:c r="F12" s="65" t="b">
        <x:v>1</x:v>
      </x:c>
      <x:c r="G12" s="64" t="str">
        <x:v>Client &amp; Referral</x:v>
      </x:c>
      <x:c r="H12" s="64" t="str">
        <x:v>C12</x:v>
      </x:c>
      <x:c r="I12" s="64" t="str">
        <x:f>IF('Client &amp; Referral'!C12="","",'Client &amp; Referral'!C12)</x:f>
      </x:c>
      <x:c r="J12" s="64" t="n">
        <x:f>IF(LEN(I12)&gt;0,1,0)</x:f>
        <x:v>0</x:v>
      </x:c>
      <x:c r="K12" s="64" t="n">
        <x:f>IF(AND(F12=TRUE,LEN(I12)&gt;0),1,0)</x:f>
        <x:v>0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4" t="str">
        <x:v>PIPELINE_ASSESSMENT_WORKBOOK_V1</x:v>
      </x:c>
      <x:c r="B13" s="64" t="str">
        <x:v>referrer_name</x:v>
      </x:c>
      <x:c r="C13" s="64" t="str">
        <x:v>Referrer</x:v>
      </x:c>
      <x:c r="D13" s="64" t="str">
        <x:v>identity</x:v>
      </x:c>
      <x:c r="E13" s="64" t="str">
        <x:v>string</x:v>
      </x:c>
      <x:c r="F13" s="65" t="b">
        <x:v>1</x:v>
      </x:c>
      <x:c r="G13" s="64" t="str">
        <x:v>Client &amp; Referral</x:v>
      </x:c>
      <x:c r="H13" s="64" t="str">
        <x:v>C13</x:v>
      </x:c>
      <x:c r="I13" s="64" t="str">
        <x:f>IF('Client &amp; Referral'!C13="","",'Client &amp; Referral'!C13)</x:f>
      </x:c>
      <x:c r="J13" s="64" t="n">
        <x:f>IF(LEN(I13)&gt;0,1,0)</x:f>
        <x:v>0</x:v>
      </x:c>
      <x:c r="K13" s="64" t="n">
        <x:f>IF(AND(F13=TRUE,LEN(I13)&gt;0),1,0)</x:f>
        <x:v>0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4" t="str">
        <x:v>PIPELINE_ASSESSMENT_WORKBOOK_V1</x:v>
      </x:c>
      <x:c r="B14" s="64" t="str">
        <x:v>referrer_contact</x:v>
      </x:c>
      <x:c r="C14" s="64" t="str">
        <x:v>Referrer contact</x:v>
      </x:c>
      <x:c r="D14" s="64" t="str">
        <x:v>identity</x:v>
      </x:c>
      <x:c r="E14" s="64" t="str">
        <x:v>string</x:v>
      </x:c>
      <x:c r="F14" s="65" t="b">
        <x:v>1</x:v>
      </x:c>
      <x:c r="G14" s="64" t="str">
        <x:v>Client &amp; Referral</x:v>
      </x:c>
      <x:c r="H14" s="64" t="str">
        <x:v>C14</x:v>
      </x:c>
      <x:c r="I14" s="64" t="str">
        <x:f>IF('Client &amp; Referral'!C14="","",'Client &amp; Referral'!C14)</x:f>
      </x:c>
      <x:c r="J14" s="64" t="n">
        <x:f>IF(LEN(I14)&gt;0,1,0)</x:f>
        <x:v>0</x:v>
      </x:c>
      <x:c r="K14" s="64" t="n">
        <x:f>IF(AND(F14=TRUE,LEN(I14)&gt;0),1,0)</x:f>
        <x:v>0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4" t="str">
        <x:v>PIPELINE_ASSESSMENT_WORKBOOK_V1</x:v>
      </x:c>
      <x:c r="B15" s="64" t="str">
        <x:v>current_location</x:v>
      </x:c>
      <x:c r="C15" s="64" t="str">
        <x:v>Current location</x:v>
      </x:c>
      <x:c r="D15" s="64" t="str">
        <x:v>identity</x:v>
      </x:c>
      <x:c r="E15" s="64" t="str">
        <x:v>string</x:v>
      </x:c>
      <x:c r="F15" s="65" t="b">
        <x:v>1</x:v>
      </x:c>
      <x:c r="G15" s="64" t="str">
        <x:v>Client &amp; Referral</x:v>
      </x:c>
      <x:c r="H15" s="64" t="str">
        <x:v>C15</x:v>
      </x:c>
      <x:c r="I15" s="64" t="str">
        <x:f>IF('Client &amp; Referral'!C15="","",'Client &amp; Referral'!C15)</x:f>
      </x:c>
      <x:c r="J15" s="64" t="n">
        <x:f>IF(LEN(I15)&gt;0,1,0)</x:f>
        <x:v>0</x:v>
      </x:c>
      <x:c r="K15" s="64" t="n">
        <x:f>IF(AND(F15=TRUE,LEN(I15)&gt;0),1,0)</x:f>
        <x:v>0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4" t="str">
        <x:v>PIPELINE_ASSESSMENT_WORKBOOK_V1</x:v>
      </x:c>
      <x:c r="B16" s="64" t="str">
        <x:v>time_at_current_location</x:v>
      </x:c>
      <x:c r="C16" s="64" t="str">
        <x:v>Time at current location</x:v>
      </x:c>
      <x:c r="D16" s="64" t="str">
        <x:v>identity</x:v>
      </x:c>
      <x:c r="E16" s="64" t="str">
        <x:v>string</x:v>
      </x:c>
      <x:c r="F16" s="65" t="b">
        <x:v>0</x:v>
      </x:c>
      <x:c r="G16" s="64" t="str">
        <x:v>Client &amp; Referral</x:v>
      </x:c>
      <x:c r="H16" s="64" t="str">
        <x:v>C16</x:v>
      </x:c>
      <x:c r="I16" s="64" t="str">
        <x:f>IF('Client &amp; Referral'!C16="","",'Client &amp; Referral'!C16)</x:f>
      </x:c>
      <x:c r="J16" s="64" t="n">
        <x:f>IF(LEN(I16)&gt;0,1,0)</x:f>
        <x:v>0</x:v>
      </x:c>
      <x:c r="K16" s="64" t="n">
        <x:f>IF(AND(F16=TRUE,LEN(I16)&gt;0),1,0)</x:f>
        <x:v>0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4" t="str">
        <x:v>PIPELINE_ASSESSMENT_WORKBOOK_V1</x:v>
      </x:c>
      <x:c r="B17" s="64" t="str">
        <x:v>referring_facility</x:v>
      </x:c>
      <x:c r="C17" s="64" t="str">
        <x:v>Referring facility</x:v>
      </x:c>
      <x:c r="D17" s="64" t="str">
        <x:v>prior_placement</x:v>
      </x:c>
      <x:c r="E17" s="64" t="str">
        <x:v>string</x:v>
      </x:c>
      <x:c r="F17" s="65" t="b">
        <x:v>0</x:v>
      </x:c>
      <x:c r="G17" s="64" t="str">
        <x:v>Placement</x:v>
      </x:c>
      <x:c r="H17" s="64" t="str">
        <x:v>C6</x:v>
      </x:c>
      <x:c r="I17" s="64" t="str">
        <x:f>IF('Placement'!C6="","",'Placement'!C6)</x:f>
      </x:c>
      <x:c r="J17" s="64" t="n">
        <x:f>IF(LEN(I17)&gt;0,1,0)</x:f>
        <x:v>0</x:v>
      </x:c>
      <x:c r="K17" s="64" t="n">
        <x:f>IF(AND(F17=TRUE,LEN(I17)&gt;0),1,0)</x:f>
        <x:v>0</x:v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4" t="str">
        <x:v>PIPELINE_ASSESSMENT_WORKBOOK_V1</x:v>
      </x:c>
      <x:c r="B18" s="64" t="str">
        <x:v>prior_setting_bucket</x:v>
      </x:c>
      <x:c r="C18" s="64" t="str">
        <x:v>Prior setting</x:v>
      </x:c>
      <x:c r="D18" s="64" t="str">
        <x:v>prior_placement</x:v>
      </x:c>
      <x:c r="E18" s="64" t="str">
        <x:v>string</x:v>
      </x:c>
      <x:c r="F18" s="65" t="b">
        <x:v>0</x:v>
      </x:c>
      <x:c r="G18" s="64" t="str">
        <x:v>Placement</x:v>
      </x:c>
      <x:c r="H18" s="64" t="str">
        <x:v>C7</x:v>
      </x:c>
      <x:c r="I18" s="64" t="str">
        <x:f>IF('Placement'!C7="","",'Placement'!C7)</x:f>
      </x:c>
      <x:c r="J18" s="64" t="n">
        <x:f>IF(LEN(I18)&gt;0,1,0)</x:f>
        <x:v>0</x:v>
      </x:c>
      <x:c r="K18" s="64" t="n">
        <x:f>IF(AND(F18=TRUE,LEN(I18)&gt;0),1,0)</x:f>
        <x:v>0</x:v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4" t="str">
        <x:v>PIPELINE_ASSESSMENT_WORKBOOK_V1</x:v>
      </x:c>
      <x:c r="B19" s="64" t="str">
        <x:v>county</x:v>
      </x:c>
      <x:c r="C19" s="64" t="str">
        <x:v>County</x:v>
      </x:c>
      <x:c r="D19" s="64" t="str">
        <x:v>prior_placement</x:v>
      </x:c>
      <x:c r="E19" s="64" t="str">
        <x:v>string</x:v>
      </x:c>
      <x:c r="F19" s="65" t="b">
        <x:v>0</x:v>
      </x:c>
      <x:c r="G19" s="64" t="str">
        <x:v>Placement</x:v>
      </x:c>
      <x:c r="H19" s="64" t="str">
        <x:v>C8</x:v>
      </x:c>
      <x:c r="I19" s="64" t="str">
        <x:f>IF('Placement'!C8="","",'Placement'!C8)</x:f>
      </x:c>
      <x:c r="J19" s="64" t="n">
        <x:f>IF(LEN(I19)&gt;0,1,0)</x:f>
        <x:v>0</x:v>
      </x:c>
      <x:c r="K19" s="64" t="n">
        <x:f>IF(AND(F19=TRUE,LEN(I19)&gt;0),1,0)</x:f>
        <x:v>0</x:v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4" t="str">
        <x:v>PIPELINE_ASSESSMENT_WORKBOOK_V1</x:v>
      </x:c>
      <x:c r="B20" s="64" t="str">
        <x:v>admit_date</x:v>
      </x:c>
      <x:c r="C20" s="64" t="str">
        <x:v>Admit date</x:v>
      </x:c>
      <x:c r="D20" s="64" t="str">
        <x:v>prior_placement</x:v>
      </x:c>
      <x:c r="E20" s="64" t="str">
        <x:v>date</x:v>
      </x:c>
      <x:c r="F20" s="65" t="b">
        <x:v>0</x:v>
      </x:c>
      <x:c r="G20" s="64" t="str">
        <x:v>Placement</x:v>
      </x:c>
      <x:c r="H20" s="64" t="str">
        <x:v>C9</x:v>
      </x:c>
      <x:c r="I20" s="64" t="str">
        <x:f>IF('Placement'!C9="","",'Placement'!C9)</x:f>
      </x:c>
      <x:c r="J20" s="64" t="n">
        <x:f>IF(LEN(I20)&gt;0,1,0)</x:f>
        <x:v>0</x:v>
      </x:c>
      <x:c r="K20" s="64" t="n">
        <x:f>IF(AND(F20=TRUE,LEN(I20)&gt;0),1,0)</x:f>
        <x:v>0</x:v>
      </x:c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4" t="str">
        <x:v>PIPELINE_ASSESSMENT_WORKBOOK_V1</x:v>
      </x:c>
      <x:c r="B21" s="64" t="str">
        <x:v>prior_hospitalizations_count</x:v>
      </x:c>
      <x:c r="C21" s="64" t="str">
        <x:v>Prior hospitalizations</x:v>
      </x:c>
      <x:c r="D21" s="64" t="str">
        <x:v>prior_history</x:v>
      </x:c>
      <x:c r="E21" s="64" t="str">
        <x:v>integer</x:v>
      </x:c>
      <x:c r="F21" s="65" t="b">
        <x:v>1</x:v>
      </x:c>
      <x:c r="G21" s="64" t="str">
        <x:v>History</x:v>
      </x:c>
      <x:c r="H21" s="64" t="str">
        <x:v>C6</x:v>
      </x:c>
      <x:c r="I21" s="64" t="str">
        <x:f>IF('History'!C6="","",'History'!C6)</x:f>
      </x:c>
      <x:c r="J21" s="64" t="n">
        <x:f>IF(LEN(I21)&gt;0,1,0)</x:f>
        <x:v>0</x:v>
      </x:c>
      <x:c r="K21" s="64" t="n">
        <x:f>IF(AND(F21=TRUE,LEN(I21)&gt;0),1,0)</x:f>
        <x:v>0</x:v>
      </x:c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4" t="str">
        <x:v>PIPELINE_ASSESSMENT_WORKBOOK_V1</x:v>
      </x:c>
      <x:c r="B22" s="64" t="str">
        <x:v>most_recent_hospitalization</x:v>
      </x:c>
      <x:c r="C22" s="64" t="str">
        <x:v>Most recent hospitalization</x:v>
      </x:c>
      <x:c r="D22" s="64" t="str">
        <x:v>prior_history</x:v>
      </x:c>
      <x:c r="E22" s="64" t="str">
        <x:v>date</x:v>
      </x:c>
      <x:c r="F22" s="65" t="b">
        <x:v>0</x:v>
      </x:c>
      <x:c r="G22" s="64" t="str">
        <x:v>History</x:v>
      </x:c>
      <x:c r="H22" s="64" t="str">
        <x:v>C7</x:v>
      </x:c>
      <x:c r="I22" s="64" t="str">
        <x:f>IF('History'!C7="","",'History'!C7)</x:f>
      </x:c>
      <x:c r="J22" s="64" t="n">
        <x:f>IF(LEN(I22)&gt;0,1,0)</x:f>
        <x:v>0</x:v>
      </x:c>
      <x:c r="K22" s="64" t="n">
        <x:f>IF(AND(F22=TRUE,LEN(I22)&gt;0),1,0)</x:f>
        <x:v>0</x:v>
      </x:c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4" t="str">
        <x:v>PIPELINE_ASSESSMENT_WORKBOOK_V1</x:v>
      </x:c>
      <x:c r="B23" s="64" t="str">
        <x:v>prior_5150_5250_holds</x:v>
      </x:c>
      <x:c r="C23" s="64" t="str">
        <x:v>Prior 5150 / 5250 holds</x:v>
      </x:c>
      <x:c r="D23" s="64" t="str">
        <x:v>prior_history</x:v>
      </x:c>
      <x:c r="E23" s="64" t="str">
        <x:v>string</x:v>
      </x:c>
      <x:c r="F23" s="65" t="b">
        <x:v>0</x:v>
      </x:c>
      <x:c r="G23" s="64" t="str">
        <x:v>History</x:v>
      </x:c>
      <x:c r="H23" s="64" t="str">
        <x:v>C8</x:v>
      </x:c>
      <x:c r="I23" s="64" t="str">
        <x:f>IF('History'!C8="","",'History'!C8)</x:f>
      </x:c>
      <x:c r="J23" s="64" t="n">
        <x:f>IF(LEN(I23)&gt;0,1,0)</x:f>
        <x:v>0</x:v>
      </x:c>
      <x:c r="K23" s="64" t="n">
        <x:f>IF(AND(F23=TRUE,LEN(I23)&gt;0),1,0)</x:f>
        <x:v>0</x:v>
      </x:c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4" t="str">
        <x:v>PIPELINE_ASSESSMENT_WORKBOOK_V1</x:v>
      </x:c>
      <x:c r="B24" s="64" t="str">
        <x:v>prior_placements</x:v>
      </x:c>
      <x:c r="C24" s="64" t="str">
        <x:v>Prior placements</x:v>
      </x:c>
      <x:c r="D24" s="64" t="str">
        <x:v>prior_history</x:v>
      </x:c>
      <x:c r="E24" s="64" t="str">
        <x:v>string</x:v>
      </x:c>
      <x:c r="F24" s="65" t="b">
        <x:v>0</x:v>
      </x:c>
      <x:c r="G24" s="64" t="str">
        <x:v>History</x:v>
      </x:c>
      <x:c r="H24" s="64" t="str">
        <x:v>C9</x:v>
      </x:c>
      <x:c r="I24" s="64" t="str">
        <x:f>IF('History'!C9="","",'History'!C9)</x:f>
      </x:c>
      <x:c r="J24" s="64" t="n">
        <x:f>IF(LEN(I24)&gt;0,1,0)</x:f>
        <x:v>0</x:v>
      </x:c>
      <x:c r="K24" s="64" t="n">
        <x:f>IF(AND(F24=TRUE,LEN(I24)&gt;0),1,0)</x:f>
        <x:v>0</x:v>
      </x:c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4" t="str">
        <x:v>PIPELINE_ASSESSMENT_WORKBOOK_V1</x:v>
      </x:c>
      <x:c r="B25" s="64" t="str">
        <x:v>crisis_er_utilization</x:v>
      </x:c>
      <x:c r="C25" s="64" t="str">
        <x:v>Crisis / ER utilization</x:v>
      </x:c>
      <x:c r="D25" s="64" t="str">
        <x:v>prior_history</x:v>
      </x:c>
      <x:c r="E25" s="64" t="str">
        <x:v>string</x:v>
      </x:c>
      <x:c r="F25" s="65" t="b">
        <x:v>0</x:v>
      </x:c>
      <x:c r="G25" s="64" t="str">
        <x:v>History</x:v>
      </x:c>
      <x:c r="H25" s="64" t="str">
        <x:v>C10</x:v>
      </x:c>
      <x:c r="I25" s="64" t="str">
        <x:f>IF('History'!C10="","",'History'!C10)</x:f>
      </x:c>
      <x:c r="J25" s="64" t="n">
        <x:f>IF(LEN(I25)&gt;0,1,0)</x:f>
        <x:v>0</x:v>
      </x:c>
      <x:c r="K25" s="64" t="n">
        <x:f>IF(AND(F25=TRUE,LEN(I25)&gt;0),1,0)</x:f>
        <x:v>0</x:v>
      </x:c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4" t="str">
        <x:v>PIPELINE_ASSESSMENT_WORKBOOK_V1</x:v>
      </x:c>
      <x:c r="B26" s="64" t="str">
        <x:v>prior_awol_failed_placements</x:v>
      </x:c>
      <x:c r="C26" s="64" t="str">
        <x:v>Prior AWOL / failed placements</x:v>
      </x:c>
      <x:c r="D26" s="64" t="str">
        <x:v>prior_history</x:v>
      </x:c>
      <x:c r="E26" s="64" t="str">
        <x:v>string</x:v>
      </x:c>
      <x:c r="F26" s="65" t="b">
        <x:v>0</x:v>
      </x:c>
      <x:c r="G26" s="64" t="str">
        <x:v>History</x:v>
      </x:c>
      <x:c r="H26" s="64" t="str">
        <x:v>C11</x:v>
      </x:c>
      <x:c r="I26" s="64" t="str">
        <x:f>IF('History'!C11="","",'History'!C11)</x:f>
      </x:c>
      <x:c r="J26" s="64" t="n">
        <x:f>IF(LEN(I26)&gt;0,1,0)</x:f>
        <x:v>0</x:v>
      </x:c>
      <x:c r="K26" s="64" t="n">
        <x:f>IF(AND(F26=TRUE,LEN(I26)&gt;0),1,0)</x:f>
        <x:v>0</x:v>
      </x:c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4" t="str">
        <x:v>PIPELINE_ASSESSMENT_WORKBOOK_V1</x:v>
      </x:c>
      <x:c r="B27" s="64" t="str">
        <x:v>primary_diagnosis</x:v>
      </x:c>
      <x:c r="C27" s="64" t="str">
        <x:v>Primary diagnosis</x:v>
      </x:c>
      <x:c r="D27" s="64" t="str">
        <x:v>diagnosis_clinical</x:v>
      </x:c>
      <x:c r="E27" s="64" t="str">
        <x:v>string</x:v>
      </x:c>
      <x:c r="F27" s="65" t="b">
        <x:v>0</x:v>
      </x:c>
      <x:c r="G27" s="64" t="str">
        <x:v>Clinical</x:v>
      </x:c>
      <x:c r="H27" s="64" t="str">
        <x:v>C6</x:v>
      </x:c>
      <x:c r="I27" s="64" t="str">
        <x:f>IF('Clinical'!C6="","",'Clinical'!C6)</x:f>
      </x:c>
      <x:c r="J27" s="64" t="n">
        <x:f>IF(LEN(I27)&gt;0,1,0)</x:f>
        <x:v>0</x:v>
      </x:c>
      <x:c r="K27" s="64" t="n">
        <x:f>IF(AND(F27=TRUE,LEN(I27)&gt;0),1,0)</x:f>
        <x:v>0</x:v>
      </x:c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4" t="str">
        <x:v>PIPELINE_ASSESSMENT_WORKBOOK_V1</x:v>
      </x:c>
      <x:c r="B28" s="64" t="str">
        <x:v>secondary_diagnoses</x:v>
      </x:c>
      <x:c r="C28" s="64" t="str">
        <x:v>Secondary diagnoses</x:v>
      </x:c>
      <x:c r="D28" s="64" t="str">
        <x:v>diagnosis_clinical</x:v>
      </x:c>
      <x:c r="E28" s="64" t="str">
        <x:v>string_list</x:v>
      </x:c>
      <x:c r="F28" s="65" t="b">
        <x:v>0</x:v>
      </x:c>
      <x:c r="G28" s="64" t="str">
        <x:v>Clinical</x:v>
      </x:c>
      <x:c r="H28" s="64" t="str">
        <x:v>C7</x:v>
      </x:c>
      <x:c r="I28" s="64" t="str">
        <x:f>IF('Clinical'!C7="","",'Clinical'!C7)</x:f>
      </x:c>
      <x:c r="J28" s="64" t="n">
        <x:f>IF(LEN(I28)&gt;0,1,0)</x:f>
        <x:v>0</x:v>
      </x:c>
      <x:c r="K28" s="64" t="n">
        <x:f>IF(AND(F28=TRUE,LEN(I28)&gt;0),1,0)</x:f>
        <x:v>0</x:v>
      </x:c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4" t="str">
        <x:v>PIPELINE_ASSESSMENT_WORKBOOK_V1</x:v>
      </x:c>
      <x:c r="B29" s="64" t="str">
        <x:v>diagnosis_categories</x:v>
      </x:c>
      <x:c r="C29" s="64" t="str">
        <x:v>Diagnosis categories</x:v>
      </x:c>
      <x:c r="D29" s="64" t="str">
        <x:v>diagnosis_clinical</x:v>
      </x:c>
      <x:c r="E29" s="64" t="str">
        <x:v>string_list</x:v>
      </x:c>
      <x:c r="F29" s="65" t="b">
        <x:v>1</x:v>
      </x:c>
      <x:c r="G29" s="64" t="str">
        <x:v>Clinical</x:v>
      </x:c>
      <x:c r="H29" s="64" t="str">
        <x:v>C8</x:v>
      </x:c>
      <x:c r="I29" s="64" t="str">
        <x:f>IF('Clinical'!C8="","",'Clinical'!C8)</x:f>
      </x:c>
      <x:c r="J29" s="64" t="n">
        <x:f>IF(LEN(I29)&gt;0,1,0)</x:f>
        <x:v>0</x:v>
      </x:c>
      <x:c r="K29" s="64" t="n">
        <x:f>IF(AND(F29=TRUE,LEN(I29)&gt;0),1,0)</x:f>
        <x:v>0</x:v>
      </x:c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4" t="str">
        <x:v>PIPELINE_ASSESSMENT_WORKBOOK_V1</x:v>
      </x:c>
      <x:c r="B30" s="64" t="str">
        <x:v>diagnosis_other_detail</x:v>
      </x:c>
      <x:c r="C30" s="64" t="str">
        <x:v>Other diagnosis</x:v>
      </x:c>
      <x:c r="D30" s="64" t="str">
        <x:v>diagnosis_clinical</x:v>
      </x:c>
      <x:c r="E30" s="64" t="str">
        <x:v>string</x:v>
      </x:c>
      <x:c r="F30" s="65" t="b">
        <x:v>0</x:v>
      </x:c>
      <x:c r="G30" s="64" t="str">
        <x:v>Clinical</x:v>
      </x:c>
      <x:c r="H30" s="64" t="str">
        <x:v>C9</x:v>
      </x:c>
      <x:c r="I30" s="64" t="str">
        <x:f>IF('Clinical'!C9="","",'Clinical'!C9)</x:f>
      </x:c>
      <x:c r="J30" s="64" t="n">
        <x:f>IF(LEN(I30)&gt;0,1,0)</x:f>
        <x:v>0</x:v>
      </x:c>
      <x:c r="K30" s="64" t="n">
        <x:f>IF(AND(F30=TRUE,LEN(I30)&gt;0),1,0)</x:f>
        <x:v>0</x:v>
      </x:c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4" t="str">
        <x:v>PIPELINE_ASSESSMENT_WORKBOOK_V1</x:v>
      </x:c>
      <x:c r="B31" s="64" t="str">
        <x:v>current_symptoms</x:v>
      </x:c>
      <x:c r="C31" s="64" t="str">
        <x:v>Current symptoms</x:v>
      </x:c>
      <x:c r="D31" s="64" t="str">
        <x:v>diagnosis_clinical</x:v>
      </x:c>
      <x:c r="E31" s="64" t="str">
        <x:v>string</x:v>
      </x:c>
      <x:c r="F31" s="65" t="b">
        <x:v>1</x:v>
      </x:c>
      <x:c r="G31" s="64" t="str">
        <x:v>Clinical</x:v>
      </x:c>
      <x:c r="H31" s="64" t="str">
        <x:v>C10</x:v>
      </x:c>
      <x:c r="I31" s="64" t="str">
        <x:f>IF('Clinical'!C10="","",'Clinical'!C10)</x:f>
      </x:c>
      <x:c r="J31" s="64" t="n">
        <x:f>IF(LEN(I31)&gt;0,1,0)</x:f>
        <x:v>0</x:v>
      </x:c>
      <x:c r="K31" s="64" t="n">
        <x:f>IF(AND(F31=TRUE,LEN(I31)&gt;0),1,0)</x:f>
        <x:v>0</x:v>
      </x:c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4" t="str">
        <x:v>PIPELINE_ASSESSMENT_WORKBOOK_V1</x:v>
      </x:c>
      <x:c r="B32" s="64" t="str">
        <x:v>acuity_level</x:v>
      </x:c>
      <x:c r="C32" s="64" t="str">
        <x:v>Acuity level</x:v>
      </x:c>
      <x:c r="D32" s="64" t="str">
        <x:v>diagnosis_clinical</x:v>
      </x:c>
      <x:c r="E32" s="64" t="str">
        <x:v>string</x:v>
      </x:c>
      <x:c r="F32" s="65" t="b">
        <x:v>0</x:v>
      </x:c>
      <x:c r="G32" s="64" t="str">
        <x:v>Clinical</x:v>
      </x:c>
      <x:c r="H32" s="64" t="str">
        <x:v>C11</x:v>
      </x:c>
      <x:c r="I32" s="64" t="str">
        <x:f>IF('Clinical'!C11="","",'Clinical'!C11)</x:f>
      </x:c>
      <x:c r="J32" s="64" t="n">
        <x:f>IF(LEN(I32)&gt;0,1,0)</x:f>
        <x:v>0</x:v>
      </x:c>
      <x:c r="K32" s="64" t="n">
        <x:f>IF(AND(F32=TRUE,LEN(I32)&gt;0),1,0)</x:f>
        <x:v>0</x:v>
      </x:c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4" t="str">
        <x:v>PIPELINE_ASSESSMENT_WORKBOOK_V1</x:v>
      </x:c>
      <x:c r="B33" s="64" t="str">
        <x:v>cognition_orientation</x:v>
      </x:c>
      <x:c r="C33" s="64" t="str">
        <x:v>Cognition / orientation</x:v>
      </x:c>
      <x:c r="D33" s="64" t="str">
        <x:v>diagnosis_clinical</x:v>
      </x:c>
      <x:c r="E33" s="64" t="str">
        <x:v>string</x:v>
      </x:c>
      <x:c r="F33" s="65" t="b">
        <x:v>0</x:v>
      </x:c>
      <x:c r="G33" s="64" t="str">
        <x:v>Clinical</x:v>
      </x:c>
      <x:c r="H33" s="64" t="str">
        <x:v>C12</x:v>
      </x:c>
      <x:c r="I33" s="64" t="str">
        <x:f>IF('Clinical'!C12="","",'Clinical'!C12)</x:f>
      </x:c>
      <x:c r="J33" s="64" t="n">
        <x:f>IF(LEN(I33)&gt;0,1,0)</x:f>
        <x:v>0</x:v>
      </x:c>
      <x:c r="K33" s="64" t="n">
        <x:f>IF(AND(F33=TRUE,LEN(I33)&gt;0),1,0)</x:f>
        <x:v>0</x:v>
      </x:c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4" t="str">
        <x:v>PIPELINE_ASSESSMENT_WORKBOOK_V1</x:v>
      </x:c>
      <x:c r="B34" s="64" t="str">
        <x:v>adl_needs</x:v>
      </x:c>
      <x:c r="C34" s="64" t="str">
        <x:v>ADL needs</x:v>
      </x:c>
      <x:c r="D34" s="64" t="str">
        <x:v>functional_adl</x:v>
      </x:c>
      <x:c r="E34" s="64" t="str">
        <x:v>string</x:v>
      </x:c>
      <x:c r="F34" s="65" t="b">
        <x:v>0</x:v>
      </x:c>
      <x:c r="G34" s="64" t="str">
        <x:v>Function</x:v>
      </x:c>
      <x:c r="H34" s="64" t="str">
        <x:v>C6</x:v>
      </x:c>
      <x:c r="I34" s="64" t="str">
        <x:f>IF('Function'!C6="","",'Function'!C6)</x:f>
      </x:c>
      <x:c r="J34" s="64" t="n">
        <x:f>IF(LEN(I34)&gt;0,1,0)</x:f>
        <x:v>0</x:v>
      </x:c>
      <x:c r="K34" s="64" t="n">
        <x:f>IF(AND(F34=TRUE,LEN(I34)&gt;0),1,0)</x:f>
        <x:v>0</x:v>
      </x:c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4" t="str">
        <x:v>PIPELINE_ASSESSMENT_WORKBOOK_V1</x:v>
      </x:c>
      <x:c r="B35" s="64" t="str">
        <x:v>prompting_level</x:v>
      </x:c>
      <x:c r="C35" s="64" t="str">
        <x:v>Prompting level</x:v>
      </x:c>
      <x:c r="D35" s="64" t="str">
        <x:v>functional_adl</x:v>
      </x:c>
      <x:c r="E35" s="64" t="str">
        <x:v>string</x:v>
      </x:c>
      <x:c r="F35" s="65" t="b">
        <x:v>0</x:v>
      </x:c>
      <x:c r="G35" s="64" t="str">
        <x:v>Function</x:v>
      </x:c>
      <x:c r="H35" s="64" t="str">
        <x:v>C7</x:v>
      </x:c>
      <x:c r="I35" s="64" t="str">
        <x:f>IF('Function'!C7="","",'Function'!C7)</x:f>
      </x:c>
      <x:c r="J35" s="64" t="n">
        <x:f>IF(LEN(I35)&gt;0,1,0)</x:f>
        <x:v>0</x:v>
      </x:c>
      <x:c r="K35" s="64" t="n">
        <x:f>IF(AND(F35=TRUE,LEN(I35)&gt;0),1,0)</x:f>
        <x:v>0</x:v>
      </x:c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4" t="str">
        <x:v>PIPELINE_ASSESSMENT_WORKBOOK_V1</x:v>
      </x:c>
      <x:c r="B36" s="64" t="str">
        <x:v>mobility</x:v>
      </x:c>
      <x:c r="C36" s="64" t="str">
        <x:v>Mobility</x:v>
      </x:c>
      <x:c r="D36" s="64" t="str">
        <x:v>functional_adl</x:v>
      </x:c>
      <x:c r="E36" s="64" t="str">
        <x:v>string</x:v>
      </x:c>
      <x:c r="F36" s="65" t="b">
        <x:v>0</x:v>
      </x:c>
      <x:c r="G36" s="64" t="str">
        <x:v>Function</x:v>
      </x:c>
      <x:c r="H36" s="64" t="str">
        <x:v>C8</x:v>
      </x:c>
      <x:c r="I36" s="64" t="str">
        <x:f>IF('Function'!C8="","",'Function'!C8)</x:f>
      </x:c>
      <x:c r="J36" s="64" t="n">
        <x:f>IF(LEN(I36)&gt;0,1,0)</x:f>
        <x:v>0</x:v>
      </x:c>
      <x:c r="K36" s="64" t="n">
        <x:f>IF(AND(F36=TRUE,LEN(I36)&gt;0),1,0)</x:f>
        <x:v>0</x:v>
      </x:c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4" t="str">
        <x:v>PIPELINE_ASSESSMENT_WORKBOOK_V1</x:v>
      </x:c>
      <x:c r="B37" s="64" t="str">
        <x:v>self_care_status</x:v>
      </x:c>
      <x:c r="C37" s="64" t="str">
        <x:v>Self-care status</x:v>
      </x:c>
      <x:c r="D37" s="64" t="str">
        <x:v>functional_adl</x:v>
      </x:c>
      <x:c r="E37" s="64" t="str">
        <x:v>string</x:v>
      </x:c>
      <x:c r="F37" s="65" t="b">
        <x:v>0</x:v>
      </x:c>
      <x:c r="G37" s="64" t="str">
        <x:v>Function</x:v>
      </x:c>
      <x:c r="H37" s="64" t="str">
        <x:v>C9</x:v>
      </x:c>
      <x:c r="I37" s="64" t="str">
        <x:f>IF('Function'!C9="","",'Function'!C9)</x:f>
      </x:c>
      <x:c r="J37" s="64" t="n">
        <x:f>IF(LEN(I37)&gt;0,1,0)</x:f>
        <x:v>0</x:v>
      </x:c>
      <x:c r="K37" s="64" t="n">
        <x:f>IF(AND(F37=TRUE,LEN(I37)&gt;0),1,0)</x:f>
        <x:v>0</x:v>
      </x:c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4" t="str">
        <x:v>PIPELINE_ASSESSMENT_WORKBOOK_V1</x:v>
      </x:c>
      <x:c r="B38" s="64" t="str">
        <x:v>dress_assistance_level</x:v>
      </x:c>
      <x:c r="C38" s="64" t="str">
        <x:v>Ability to dress</x:v>
      </x:c>
      <x:c r="D38" s="64" t="str">
        <x:v>functional_adl</x:v>
      </x:c>
      <x:c r="E38" s="64" t="str">
        <x:v>string</x:v>
      </x:c>
      <x:c r="F38" s="65" t="b">
        <x:v>1</x:v>
      </x:c>
      <x:c r="G38" s="64" t="str">
        <x:v>Function</x:v>
      </x:c>
      <x:c r="H38" s="64" t="str">
        <x:v>C10</x:v>
      </x:c>
      <x:c r="I38" s="64" t="str">
        <x:f>IF('Function'!C10="","",'Function'!C10)</x:f>
      </x:c>
      <x:c r="J38" s="64" t="n">
        <x:f>IF(LEN(I38)&gt;0,1,0)</x:f>
        <x:v>0</x:v>
      </x:c>
      <x:c r="K38" s="64" t="n">
        <x:f>IF(AND(F38=TRUE,LEN(I38)&gt;0),1,0)</x:f>
        <x:v>0</x:v>
      </x:c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4" t="str">
        <x:v>PIPELINE_ASSESSMENT_WORKBOOK_V1</x:v>
      </x:c>
      <x:c r="B39" s="64" t="str">
        <x:v>dress_assistance_details</x:v>
      </x:c>
      <x:c r="C39" s="64" t="str">
        <x:v>Dressing assistance needed</x:v>
      </x:c>
      <x:c r="D39" s="64" t="str">
        <x:v>functional_adl</x:v>
      </x:c>
      <x:c r="E39" s="64" t="str">
        <x:v>string</x:v>
      </x:c>
      <x:c r="F39" s="65" t="b">
        <x:v>0</x:v>
      </x:c>
      <x:c r="G39" s="64" t="str">
        <x:v>Function</x:v>
      </x:c>
      <x:c r="H39" s="64" t="str">
        <x:v>C11</x:v>
      </x:c>
      <x:c r="I39" s="64" t="str">
        <x:f>IF('Function'!C11="","",'Function'!C11)</x:f>
      </x:c>
      <x:c r="J39" s="64" t="n">
        <x:f>IF(LEN(I39)&gt;0,1,0)</x:f>
        <x:v>0</x:v>
      </x:c>
      <x:c r="K39" s="64" t="n">
        <x:f>IF(AND(F39=TRUE,LEN(I39)&gt;0),1,0)</x:f>
        <x:v>0</x:v>
      </x:c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4" t="str">
        <x:v>PIPELINE_ASSESSMENT_WORKBOOK_V1</x:v>
      </x:c>
      <x:c r="B40" s="64" t="str">
        <x:v>bathing_assistance_level</x:v>
      </x:c>
      <x:c r="C40" s="64" t="str">
        <x:v>Ability to bathe</x:v>
      </x:c>
      <x:c r="D40" s="64" t="str">
        <x:v>functional_adl</x:v>
      </x:c>
      <x:c r="E40" s="64" t="str">
        <x:v>string</x:v>
      </x:c>
      <x:c r="F40" s="65" t="b">
        <x:v>1</x:v>
      </x:c>
      <x:c r="G40" s="64" t="str">
        <x:v>Function</x:v>
      </x:c>
      <x:c r="H40" s="64" t="str">
        <x:v>C12</x:v>
      </x:c>
      <x:c r="I40" s="64" t="str">
        <x:f>IF('Function'!C12="","",'Function'!C12)</x:f>
      </x:c>
      <x:c r="J40" s="64" t="n">
        <x:f>IF(LEN(I40)&gt;0,1,0)</x:f>
        <x:v>0</x:v>
      </x:c>
      <x:c r="K40" s="64" t="n">
        <x:f>IF(AND(F40=TRUE,LEN(I40)&gt;0),1,0)</x:f>
        <x:v>0</x:v>
      </x:c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4" t="str">
        <x:v>PIPELINE_ASSESSMENT_WORKBOOK_V1</x:v>
      </x:c>
      <x:c r="B41" s="64" t="str">
        <x:v>bathing_assistance_details</x:v>
      </x:c>
      <x:c r="C41" s="64" t="str">
        <x:v>Bathing assistance needed</x:v>
      </x:c>
      <x:c r="D41" s="64" t="str">
        <x:v>functional_adl</x:v>
      </x:c>
      <x:c r="E41" s="64" t="str">
        <x:v>string</x:v>
      </x:c>
      <x:c r="F41" s="65" t="b">
        <x:v>0</x:v>
      </x:c>
      <x:c r="G41" s="64" t="str">
        <x:v>Function</x:v>
      </x:c>
      <x:c r="H41" s="64" t="str">
        <x:v>C13</x:v>
      </x:c>
      <x:c r="I41" s="64" t="str">
        <x:f>IF('Function'!C13="","",'Function'!C13)</x:f>
      </x:c>
      <x:c r="J41" s="64" t="n">
        <x:f>IF(LEN(I41)&gt;0,1,0)</x:f>
        <x:v>0</x:v>
      </x:c>
      <x:c r="K41" s="64" t="n">
        <x:f>IF(AND(F41=TRUE,LEN(I41)&gt;0),1,0)</x:f>
        <x:v>0</x:v>
      </x:c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4" t="str">
        <x:v>PIPELINE_ASSESSMENT_WORKBOOK_V1</x:v>
      </x:c>
      <x:c r="B42" s="64" t="str">
        <x:v>overall_hygiene_rating</x:v>
      </x:c>
      <x:c r="C42" s="64" t="str">
        <x:v>Overall hygiene</x:v>
      </x:c>
      <x:c r="D42" s="64" t="str">
        <x:v>functional_adl</x:v>
      </x:c>
      <x:c r="E42" s="64" t="str">
        <x:v>integer</x:v>
      </x:c>
      <x:c r="F42" s="65" t="b">
        <x:v>1</x:v>
      </x:c>
      <x:c r="G42" s="64" t="str">
        <x:v>Function</x:v>
      </x:c>
      <x:c r="H42" s="64" t="str">
        <x:v>C14</x:v>
      </x:c>
      <x:c r="I42" s="64" t="str">
        <x:f>IF('Function'!C14="","",'Function'!C14)</x:f>
      </x:c>
      <x:c r="J42" s="64" t="n">
        <x:f>IF(LEN(I42)&gt;0,1,0)</x:f>
        <x:v>0</x:v>
      </x:c>
      <x:c r="K42" s="64" t="n">
        <x:f>IF(AND(F42=TRUE,LEN(I42)&gt;0),1,0)</x:f>
        <x:v>0</x:v>
      </x:c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4" t="str">
        <x:v>PIPELINE_ASSESSMENT_WORKBOOK_V1</x:v>
      </x:c>
      <x:c r="B43" s="64" t="str">
        <x:v>language_barrier</x:v>
      </x:c>
      <x:c r="C43" s="64" t="str">
        <x:v>Language barrier</x:v>
      </x:c>
      <x:c r="D43" s="64" t="str">
        <x:v>functional_adl</x:v>
      </x:c>
      <x:c r="E43" s="64" t="str">
        <x:v>string</x:v>
      </x:c>
      <x:c r="F43" s="65" t="b">
        <x:v>1</x:v>
      </x:c>
      <x:c r="G43" s="64" t="str">
        <x:v>Function</x:v>
      </x:c>
      <x:c r="H43" s="64" t="str">
        <x:v>C15</x:v>
      </x:c>
      <x:c r="I43" s="64" t="str">
        <x:f>IF('Function'!C15="","",'Function'!C15)</x:f>
      </x:c>
      <x:c r="J43" s="64" t="n">
        <x:f>IF(LEN(I43)&gt;0,1,0)</x:f>
        <x:v>0</x:v>
      </x:c>
      <x:c r="K43" s="64" t="n">
        <x:f>IF(AND(F43=TRUE,LEN(I43)&gt;0),1,0)</x:f>
        <x:v>0</x:v>
      </x:c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4" t="str">
        <x:v>PIPELINE_ASSESSMENT_WORKBOOK_V1</x:v>
      </x:c>
      <x:c r="B44" s="64" t="str">
        <x:v>language_barrier_details</x:v>
      </x:c>
      <x:c r="C44" s="64" t="str">
        <x:v>Language support needed</x:v>
      </x:c>
      <x:c r="D44" s="64" t="str">
        <x:v>functional_adl</x:v>
      </x:c>
      <x:c r="E44" s="64" t="str">
        <x:v>string</x:v>
      </x:c>
      <x:c r="F44" s="65" t="b">
        <x:v>0</x:v>
      </x:c>
      <x:c r="G44" s="64" t="str">
        <x:v>Function</x:v>
      </x:c>
      <x:c r="H44" s="64" t="str">
        <x:v>C16</x:v>
      </x:c>
      <x:c r="I44" s="64" t="str">
        <x:f>IF('Function'!C16="","",'Function'!C16)</x:f>
      </x:c>
      <x:c r="J44" s="64" t="n">
        <x:f>IF(LEN(I44)&gt;0,1,0)</x:f>
        <x:v>0</x:v>
      </x:c>
      <x:c r="K44" s="64" t="n">
        <x:f>IF(AND(F44=TRUE,LEN(I44)&gt;0),1,0)</x:f>
        <x:v>0</x:v>
      </x:c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4" t="str">
        <x:v>PIPELINE_ASSESSMENT_WORKBOOK_V1</x:v>
      </x:c>
      <x:c r="B45" s="64" t="str">
        <x:v>linear_conversation</x:v>
      </x:c>
      <x:c r="C45" s="64" t="str">
        <x:v>Can hold a linear conversation</x:v>
      </x:c>
      <x:c r="D45" s="64" t="str">
        <x:v>functional_adl</x:v>
      </x:c>
      <x:c r="E45" s="64" t="str">
        <x:v>string</x:v>
      </x:c>
      <x:c r="F45" s="65" t="b">
        <x:v>1</x:v>
      </x:c>
      <x:c r="G45" s="64" t="str">
        <x:v>Function</x:v>
      </x:c>
      <x:c r="H45" s="64" t="str">
        <x:v>C17</x:v>
      </x:c>
      <x:c r="I45" s="64" t="str">
        <x:f>IF('Function'!C17="","",'Function'!C17)</x:f>
      </x:c>
      <x:c r="J45" s="64" t="n">
        <x:f>IF(LEN(I45)&gt;0,1,0)</x:f>
        <x:v>0</x:v>
      </x:c>
      <x:c r="K45" s="64" t="n">
        <x:f>IF(AND(F45=TRUE,LEN(I45)&gt;0),1,0)</x:f>
        <x:v>0</x:v>
      </x:c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4" t="str">
        <x:v>PIPELINE_ASSESSMENT_WORKBOOK_V1</x:v>
      </x:c>
      <x:c r="B46" s="64" t="str">
        <x:v>linear_conversation_details</x:v>
      </x:c>
      <x:c r="C46" s="64" t="str">
        <x:v>Conversation barriers</x:v>
      </x:c>
      <x:c r="D46" s="64" t="str">
        <x:v>functional_adl</x:v>
      </x:c>
      <x:c r="E46" s="64" t="str">
        <x:v>string</x:v>
      </x:c>
      <x:c r="F46" s="65" t="b">
        <x:v>0</x:v>
      </x:c>
      <x:c r="G46" s="64" t="str">
        <x:v>Function</x:v>
      </x:c>
      <x:c r="H46" s="64" t="str">
        <x:v>C18</x:v>
      </x:c>
      <x:c r="I46" s="64" t="str">
        <x:f>IF('Function'!C18="","",'Function'!C18)</x:f>
      </x:c>
      <x:c r="J46" s="64" t="n">
        <x:f>IF(LEN(I46)&gt;0,1,0)</x:f>
        <x:v>0</x:v>
      </x:c>
      <x:c r="K46" s="64" t="n">
        <x:f>IF(AND(F46=TRUE,LEN(I46)&gt;0),1,0)</x:f>
        <x:v>0</x:v>
      </x:c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4" t="str">
        <x:v>PIPELINE_ASSESSMENT_WORKBOOK_V1</x:v>
      </x:c>
      <x:c r="B47" s="64" t="str">
        <x:v>peer_interaction_rating</x:v>
      </x:c>
      <x:c r="C47" s="64" t="str">
        <x:v>Interaction with peers</x:v>
      </x:c>
      <x:c r="D47" s="64" t="str">
        <x:v>functional_adl</x:v>
      </x:c>
      <x:c r="E47" s="64" t="str">
        <x:v>integer</x:v>
      </x:c>
      <x:c r="F47" s="65" t="b">
        <x:v>1</x:v>
      </x:c>
      <x:c r="G47" s="64" t="str">
        <x:v>Function</x:v>
      </x:c>
      <x:c r="H47" s="64" t="str">
        <x:v>C19</x:v>
      </x:c>
      <x:c r="I47" s="64" t="str">
        <x:f>IF('Function'!C19="","",'Function'!C19)</x:f>
      </x:c>
      <x:c r="J47" s="64" t="n">
        <x:f>IF(LEN(I47)&gt;0,1,0)</x:f>
        <x:v>0</x:v>
      </x:c>
      <x:c r="K47" s="64" t="n">
        <x:f>IF(AND(F47=TRUE,LEN(I47)&gt;0),1,0)</x:f>
        <x:v>0</x:v>
      </x:c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4" t="str">
        <x:v>PIPELINE_ASSESSMENT_WORKBOOK_V1</x:v>
      </x:c>
      <x:c r="B48" s="64" t="str">
        <x:v>peer_interaction_notes</x:v>
      </x:c>
      <x:c r="C48" s="64" t="str">
        <x:v>Peer interaction notes</x:v>
      </x:c>
      <x:c r="D48" s="64" t="str">
        <x:v>functional_adl</x:v>
      </x:c>
      <x:c r="E48" s="64" t="str">
        <x:v>string</x:v>
      </x:c>
      <x:c r="F48" s="65" t="b">
        <x:v>0</x:v>
      </x:c>
      <x:c r="G48" s="64" t="str">
        <x:v>Function</x:v>
      </x:c>
      <x:c r="H48" s="64" t="str">
        <x:v>C20</x:v>
      </x:c>
      <x:c r="I48" s="64" t="str">
        <x:f>IF('Function'!C20="","",'Function'!C20)</x:f>
      </x:c>
      <x:c r="J48" s="64" t="n">
        <x:f>IF(LEN(I48)&gt;0,1,0)</x:f>
        <x:v>0</x:v>
      </x:c>
      <x:c r="K48" s="64" t="n">
        <x:f>IF(AND(F48=TRUE,LEN(I48)&gt;0),1,0)</x:f>
        <x:v>0</x:v>
      </x:c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4" t="str">
        <x:v>PIPELINE_ASSESSMENT_WORKBOOK_V1</x:v>
      </x:c>
      <x:c r="B49" s="64" t="str">
        <x:v>staff_interaction_rating</x:v>
      </x:c>
      <x:c r="C49" s="64" t="str">
        <x:v>Interaction with staff</x:v>
      </x:c>
      <x:c r="D49" s="64" t="str">
        <x:v>functional_adl</x:v>
      </x:c>
      <x:c r="E49" s="64" t="str">
        <x:v>integer</x:v>
      </x:c>
      <x:c r="F49" s="65" t="b">
        <x:v>1</x:v>
      </x:c>
      <x:c r="G49" s="64" t="str">
        <x:v>Function</x:v>
      </x:c>
      <x:c r="H49" s="64" t="str">
        <x:v>C21</x:v>
      </x:c>
      <x:c r="I49" s="64" t="str">
        <x:f>IF('Function'!C21="","",'Function'!C21)</x:f>
      </x:c>
      <x:c r="J49" s="64" t="n">
        <x:f>IF(LEN(I49)&gt;0,1,0)</x:f>
        <x:v>0</x:v>
      </x:c>
      <x:c r="K49" s="64" t="n">
        <x:f>IF(AND(F49=TRUE,LEN(I49)&gt;0),1,0)</x:f>
        <x:v>0</x:v>
      </x:c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4" t="str">
        <x:v>PIPELINE_ASSESSMENT_WORKBOOK_V1</x:v>
      </x:c>
      <x:c r="B50" s="64" t="str">
        <x:v>staff_interaction_notes</x:v>
      </x:c>
      <x:c r="C50" s="64" t="str">
        <x:v>Staff interaction notes</x:v>
      </x:c>
      <x:c r="D50" s="64" t="str">
        <x:v>functional_adl</x:v>
      </x:c>
      <x:c r="E50" s="64" t="str">
        <x:v>string</x:v>
      </x:c>
      <x:c r="F50" s="65" t="b">
        <x:v>0</x:v>
      </x:c>
      <x:c r="G50" s="64" t="str">
        <x:v>Function</x:v>
      </x:c>
      <x:c r="H50" s="64" t="str">
        <x:v>C22</x:v>
      </x:c>
      <x:c r="I50" s="64" t="str">
        <x:f>IF('Function'!C22="","",'Function'!C22)</x:f>
      </x:c>
      <x:c r="J50" s="64" t="n">
        <x:f>IF(LEN(I50)&gt;0,1,0)</x:f>
        <x:v>0</x:v>
      </x:c>
      <x:c r="K50" s="64" t="n">
        <x:f>IF(AND(F50=TRUE,LEN(I50)&gt;0),1,0)</x:f>
        <x:v>0</x:v>
      </x:c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4" t="str">
        <x:v>PIPELINE_ASSESSMENT_WORKBOOK_V1</x:v>
      </x:c>
      <x:c r="B51" s="64" t="str">
        <x:v>participates_in_programming</x:v>
      </x:c>
      <x:c r="C51" s="64" t="str">
        <x:v>Participates in programming</x:v>
      </x:c>
      <x:c r="D51" s="64" t="str">
        <x:v>functional_adl</x:v>
      </x:c>
      <x:c r="E51" s="64" t="str">
        <x:v>string</x:v>
      </x:c>
      <x:c r="F51" s="65" t="b">
        <x:v>1</x:v>
      </x:c>
      <x:c r="G51" s="64" t="str">
        <x:v>Function</x:v>
      </x:c>
      <x:c r="H51" s="64" t="str">
        <x:v>C23</x:v>
      </x:c>
      <x:c r="I51" s="64" t="str">
        <x:f>IF('Function'!C23="","",'Function'!C23)</x:f>
      </x:c>
      <x:c r="J51" s="64" t="n">
        <x:f>IF(LEN(I51)&gt;0,1,0)</x:f>
        <x:v>0</x:v>
      </x:c>
      <x:c r="K51" s="64" t="n">
        <x:f>IF(AND(F51=TRUE,LEN(I51)&gt;0),1,0)</x:f>
        <x:v>0</x:v>
      </x:c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4" t="str">
        <x:v>PIPELINE_ASSESSMENT_WORKBOOK_V1</x:v>
      </x:c>
      <x:c r="B52" s="64" t="str">
        <x:v>programming_notes</x:v>
      </x:c>
      <x:c r="C52" s="64" t="str">
        <x:v>Programming notes</x:v>
      </x:c>
      <x:c r="D52" s="64" t="str">
        <x:v>functional_adl</x:v>
      </x:c>
      <x:c r="E52" s="64" t="str">
        <x:v>string</x:v>
      </x:c>
      <x:c r="F52" s="65" t="b">
        <x:v>0</x:v>
      </x:c>
      <x:c r="G52" s="64" t="str">
        <x:v>Function</x:v>
      </x:c>
      <x:c r="H52" s="64" t="str">
        <x:v>C24</x:v>
      </x:c>
      <x:c r="I52" s="64" t="str">
        <x:f>IF('Function'!C24="","",'Function'!C24)</x:f>
      </x:c>
      <x:c r="J52" s="64" t="n">
        <x:f>IF(LEN(I52)&gt;0,1,0)</x:f>
        <x:v>0</x:v>
      </x:c>
      <x:c r="K52" s="64" t="n">
        <x:f>IF(AND(F52=TRUE,LEN(I52)&gt;0),1,0)</x:f>
        <x:v>0</x:v>
      </x:c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4" t="str">
        <x:v>PIPELINE_ASSESSMENT_WORKBOOK_V1</x:v>
      </x:c>
      <x:c r="B53" s="64" t="str">
        <x:v>ambulatory</x:v>
      </x:c>
      <x:c r="C53" s="64" t="str">
        <x:v>Ambulatory</x:v>
      </x:c>
      <x:c r="D53" s="64" t="str">
        <x:v>functional_adl</x:v>
      </x:c>
      <x:c r="E53" s="64" t="str">
        <x:v>string</x:v>
      </x:c>
      <x:c r="F53" s="65" t="b">
        <x:v>1</x:v>
      </x:c>
      <x:c r="G53" s="64" t="str">
        <x:v>Function</x:v>
      </x:c>
      <x:c r="H53" s="64" t="str">
        <x:v>C25</x:v>
      </x:c>
      <x:c r="I53" s="64" t="str">
        <x:f>IF('Function'!C25="","",'Function'!C25)</x:f>
      </x:c>
      <x:c r="J53" s="64" t="n">
        <x:f>IF(LEN(I53)&gt;0,1,0)</x:f>
        <x:v>0</x:v>
      </x:c>
      <x:c r="K53" s="64" t="n">
        <x:f>IF(AND(F53=TRUE,LEN(I53)&gt;0),1,0)</x:f>
        <x:v>0</x:v>
      </x:c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4" t="str">
        <x:v>PIPELINE_ASSESSMENT_WORKBOOK_V1</x:v>
      </x:c>
      <x:c r="B54" s="64" t="str">
        <x:v>behavioral_history</x:v>
      </x:c>
      <x:c r="C54" s="64" t="str">
        <x:v>Behavioral history</x:v>
      </x:c>
      <x:c r="D54" s="64" t="str">
        <x:v>behavioral_risk</x:v>
      </x:c>
      <x:c r="E54" s="64" t="str">
        <x:v>string</x:v>
      </x:c>
      <x:c r="F54" s="65" t="b">
        <x:v>0</x:v>
      </x:c>
      <x:c r="G54" s="64" t="str">
        <x:v>Behavior &amp; Safety</x:v>
      </x:c>
      <x:c r="H54" s="64" t="str">
        <x:v>C6</x:v>
      </x:c>
      <x:c r="I54" s="64" t="str">
        <x:f>IF('Behavior &amp; Safety'!C6="","",'Behavior &amp; Safety'!C6)</x:f>
      </x:c>
      <x:c r="J54" s="64" t="n">
        <x:f>IF(LEN(I54)&gt;0,1,0)</x:f>
        <x:v>0</x:v>
      </x:c>
      <x:c r="K54" s="64" t="n">
        <x:f>IF(AND(F54=TRUE,LEN(I54)&gt;0),1,0)</x:f>
        <x:v>0</x:v>
      </x:c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4" t="str">
        <x:v>PIPELINE_ASSESSMENT_WORKBOOK_V1</x:v>
      </x:c>
      <x:c r="B55" s="64" t="str">
        <x:v>triggers</x:v>
      </x:c>
      <x:c r="C55" s="64" t="str">
        <x:v>Triggers</x:v>
      </x:c>
      <x:c r="D55" s="64" t="str">
        <x:v>behavioral_risk</x:v>
      </x:c>
      <x:c r="E55" s="64" t="str">
        <x:v>string</x:v>
      </x:c>
      <x:c r="F55" s="65" t="b">
        <x:v>0</x:v>
      </x:c>
      <x:c r="G55" s="64" t="str">
        <x:v>Behavior &amp; Safety</x:v>
      </x:c>
      <x:c r="H55" s="64" t="str">
        <x:v>C7</x:v>
      </x:c>
      <x:c r="I55" s="64" t="str">
        <x:f>IF('Behavior &amp; Safety'!C7="","",'Behavior &amp; Safety'!C7)</x:f>
      </x:c>
      <x:c r="J55" s="64" t="n">
        <x:f>IF(LEN(I55)&gt;0,1,0)</x:f>
        <x:v>0</x:v>
      </x:c>
      <x:c r="K55" s="64" t="n">
        <x:f>IF(AND(F55=TRUE,LEN(I55)&gt;0),1,0)</x:f>
        <x:v>0</x:v>
      </x:c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4" t="str">
        <x:v>PIPELINE_ASSESSMENT_WORKBOOK_V1</x:v>
      </x:c>
      <x:c r="B56" s="64" t="str">
        <x:v>si_hi_history</x:v>
      </x:c>
      <x:c r="C56" s="64" t="str">
        <x:v>SI / HI history</x:v>
      </x:c>
      <x:c r="D56" s="64" t="str">
        <x:v>behavioral_risk</x:v>
      </x:c>
      <x:c r="E56" s="64" t="str">
        <x:v>string</x:v>
      </x:c>
      <x:c r="F56" s="65" t="b">
        <x:v>0</x:v>
      </x:c>
      <x:c r="G56" s="64" t="str">
        <x:v>Behavior &amp; Safety</x:v>
      </x:c>
      <x:c r="H56" s="64" t="str">
        <x:v>C8</x:v>
      </x:c>
      <x:c r="I56" s="64" t="str">
        <x:f>IF('Behavior &amp; Safety'!C8="","",'Behavior &amp; Safety'!C8)</x:f>
      </x:c>
      <x:c r="J56" s="64" t="n">
        <x:f>IF(LEN(I56)&gt;0,1,0)</x:f>
        <x:v>0</x:v>
      </x:c>
      <x:c r="K56" s="64" t="n">
        <x:f>IF(AND(F56=TRUE,LEN(I56)&gt;0),1,0)</x:f>
        <x:v>0</x:v>
      </x:c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4" t="str">
        <x:v>PIPELINE_ASSESSMENT_WORKBOOK_V1</x:v>
      </x:c>
      <x:c r="B57" s="64" t="str">
        <x:v>elopement_risk</x:v>
      </x:c>
      <x:c r="C57" s="64" t="str">
        <x:v>Elopement risk</x:v>
      </x:c>
      <x:c r="D57" s="64" t="str">
        <x:v>behavioral_risk</x:v>
      </x:c>
      <x:c r="E57" s="64" t="str">
        <x:v>string</x:v>
      </x:c>
      <x:c r="F57" s="65" t="b">
        <x:v>0</x:v>
      </x:c>
      <x:c r="G57" s="64" t="str">
        <x:v>Behavior &amp; Safety</x:v>
      </x:c>
      <x:c r="H57" s="64" t="str">
        <x:v>C9</x:v>
      </x:c>
      <x:c r="I57" s="64" t="str">
        <x:f>IF('Behavior &amp; Safety'!C9="","",'Behavior &amp; Safety'!C9)</x:f>
      </x:c>
      <x:c r="J57" s="64" t="n">
        <x:f>IF(LEN(I57)&gt;0,1,0)</x:f>
        <x:v>0</x:v>
      </x:c>
      <x:c r="K57" s="64" t="n">
        <x:f>IF(AND(F57=TRUE,LEN(I57)&gt;0),1,0)</x:f>
        <x:v>0</x:v>
      </x:c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4" t="str">
        <x:v>PIPELINE_ASSESSMENT_WORKBOOK_V1</x:v>
      </x:c>
      <x:c r="B58" s="64" t="str">
        <x:v>aggression_risk</x:v>
      </x:c>
      <x:c r="C58" s="64" t="str">
        <x:v>Aggression risk</x:v>
      </x:c>
      <x:c r="D58" s="64" t="str">
        <x:v>behavioral_risk</x:v>
      </x:c>
      <x:c r="E58" s="64" t="str">
        <x:v>string</x:v>
      </x:c>
      <x:c r="F58" s="65" t="b">
        <x:v>0</x:v>
      </x:c>
      <x:c r="G58" s="64" t="str">
        <x:v>Behavior &amp; Safety</x:v>
      </x:c>
      <x:c r="H58" s="64" t="str">
        <x:v>C10</x:v>
      </x:c>
      <x:c r="I58" s="64" t="str">
        <x:f>IF('Behavior &amp; Safety'!C10="","",'Behavior &amp; Safety'!C10)</x:f>
      </x:c>
      <x:c r="J58" s="64" t="n">
        <x:f>IF(LEN(I58)&gt;0,1,0)</x:f>
        <x:v>0</x:v>
      </x:c>
      <x:c r="K58" s="64" t="n">
        <x:f>IF(AND(F58=TRUE,LEN(I58)&gt;0),1,0)</x:f>
        <x:v>0</x:v>
      </x:c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4" t="str">
        <x:v>PIPELINE_ASSESSMENT_WORKBOOK_V1</x:v>
      </x:c>
      <x:c r="B59" s="64" t="str">
        <x:v>responds_to_internal_stimuli</x:v>
      </x:c>
      <x:c r="C59" s="64" t="str">
        <x:v>Responds to internal stimuli</x:v>
      </x:c>
      <x:c r="D59" s="64" t="str">
        <x:v>behavioral_risk</x:v>
      </x:c>
      <x:c r="E59" s="64" t="str">
        <x:v>string</x:v>
      </x:c>
      <x:c r="F59" s="65" t="b">
        <x:v>0</x:v>
      </x:c>
      <x:c r="G59" s="64" t="str">
        <x:v>Behavior &amp; Safety</x:v>
      </x:c>
      <x:c r="H59" s="64" t="str">
        <x:v>C11</x:v>
      </x:c>
      <x:c r="I59" s="64" t="str">
        <x:f>IF('Behavior &amp; Safety'!C11="","",'Behavior &amp; Safety'!C11)</x:f>
      </x:c>
      <x:c r="J59" s="64" t="n">
        <x:f>IF(LEN(I59)&gt;0,1,0)</x:f>
        <x:v>0</x:v>
      </x:c>
      <x:c r="K59" s="64" t="n">
        <x:f>IF(AND(F59=TRUE,LEN(I59)&gt;0),1,0)</x:f>
        <x:v>0</x:v>
      </x:c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4" t="str">
        <x:v>PIPELINE_ASSESSMENT_WORKBOOK_V1</x:v>
      </x:c>
      <x:c r="B60" s="64" t="str">
        <x:v>physical_altercations</x:v>
      </x:c>
      <x:c r="C60" s="64" t="str">
        <x:v>Physical altercations</x:v>
      </x:c>
      <x:c r="D60" s="64" t="str">
        <x:v>behavioral_risk</x:v>
      </x:c>
      <x:c r="E60" s="64" t="str">
        <x:v>string</x:v>
      </x:c>
      <x:c r="F60" s="65" t="b">
        <x:v>1</x:v>
      </x:c>
      <x:c r="G60" s="64" t="str">
        <x:v>Behavior &amp; Safety</x:v>
      </x:c>
      <x:c r="H60" s="64" t="str">
        <x:v>C12</x:v>
      </x:c>
      <x:c r="I60" s="64" t="str">
        <x:f>IF('Behavior &amp; Safety'!C12="","",'Behavior &amp; Safety'!C12)</x:f>
      </x:c>
      <x:c r="J60" s="64" t="n">
        <x:f>IF(LEN(I60)&gt;0,1,0)</x:f>
        <x:v>0</x:v>
      </x:c>
      <x:c r="K60" s="64" t="n">
        <x:f>IF(AND(F60=TRUE,LEN(I60)&gt;0),1,0)</x:f>
        <x:v>0</x:v>
      </x:c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4" t="str">
        <x:v>PIPELINE_ASSESSMENT_WORKBOOK_V1</x:v>
      </x:c>
      <x:c r="B61" s="64" t="str">
        <x:v>physical_altercation_details</x:v>
      </x:c>
      <x:c r="C61" s="64" t="str">
        <x:v>Physical altercation details</x:v>
      </x:c>
      <x:c r="D61" s="64" t="str">
        <x:v>behavioral_risk</x:v>
      </x:c>
      <x:c r="E61" s="64" t="str">
        <x:v>string</x:v>
      </x:c>
      <x:c r="F61" s="65" t="b">
        <x:v>0</x:v>
      </x:c>
      <x:c r="G61" s="64" t="str">
        <x:v>Behavior &amp; Safety</x:v>
      </x:c>
      <x:c r="H61" s="64" t="str">
        <x:v>C13</x:v>
      </x:c>
      <x:c r="I61" s="64" t="str">
        <x:f>IF('Behavior &amp; Safety'!C13="","",'Behavior &amp; Safety'!C13)</x:f>
      </x:c>
      <x:c r="J61" s="64" t="n">
        <x:f>IF(LEN(I61)&gt;0,1,0)</x:f>
        <x:v>0</x:v>
      </x:c>
      <x:c r="K61" s="64" t="n">
        <x:f>IF(AND(F61=TRUE,LEN(I61)&gt;0),1,0)</x:f>
        <x:v>0</x:v>
      </x:c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4" t="str">
        <x:v>PIPELINE_ASSESSMENT_WORKBOOK_V1</x:v>
      </x:c>
      <x:c r="B62" s="64" t="str">
        <x:v>self_harm_history</x:v>
      </x:c>
      <x:c r="C62" s="64" t="str">
        <x:v>History of self-harm</x:v>
      </x:c>
      <x:c r="D62" s="64" t="str">
        <x:v>behavioral_risk</x:v>
      </x:c>
      <x:c r="E62" s="64" t="str">
        <x:v>string</x:v>
      </x:c>
      <x:c r="F62" s="65" t="b">
        <x:v>1</x:v>
      </x:c>
      <x:c r="G62" s="64" t="str">
        <x:v>Behavior &amp; Safety</x:v>
      </x:c>
      <x:c r="H62" s="64" t="str">
        <x:v>C14</x:v>
      </x:c>
      <x:c r="I62" s="64" t="str">
        <x:f>IF('Behavior &amp; Safety'!C14="","",'Behavior &amp; Safety'!C14)</x:f>
      </x:c>
      <x:c r="J62" s="64" t="n">
        <x:f>IF(LEN(I62)&gt;0,1,0)</x:f>
        <x:v>0</x:v>
      </x:c>
      <x:c r="K62" s="64" t="n">
        <x:f>IF(AND(F62=TRUE,LEN(I62)&gt;0),1,0)</x:f>
        <x:v>0</x:v>
      </x:c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4" t="str">
        <x:v>PIPELINE_ASSESSMENT_WORKBOOK_V1</x:v>
      </x:c>
      <x:c r="B63" s="64" t="str">
        <x:v>last_self_harm_incident</x:v>
      </x:c>
      <x:c r="C63" s="64" t="str">
        <x:v>Last documented self-harm incident</x:v>
      </x:c>
      <x:c r="D63" s="64" t="str">
        <x:v>behavioral_risk</x:v>
      </x:c>
      <x:c r="E63" s="64" t="str">
        <x:v>string</x:v>
      </x:c>
      <x:c r="F63" s="65" t="b">
        <x:v>0</x:v>
      </x:c>
      <x:c r="G63" s="64" t="str">
        <x:v>Behavior &amp; Safety</x:v>
      </x:c>
      <x:c r="H63" s="64" t="str">
        <x:v>C15</x:v>
      </x:c>
      <x:c r="I63" s="64" t="str">
        <x:f>IF('Behavior &amp; Safety'!C15="","",'Behavior &amp; Safety'!C15)</x:f>
      </x:c>
      <x:c r="J63" s="64" t="n">
        <x:f>IF(LEN(I63)&gt;0,1,0)</x:f>
        <x:v>0</x:v>
      </x:c>
      <x:c r="K63" s="64" t="n">
        <x:f>IF(AND(F63=TRUE,LEN(I63)&gt;0),1,0)</x:f>
        <x:v>0</x:v>
      </x:c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4" t="str">
        <x:v>PIPELINE_ASSESSMENT_WORKBOOK_V1</x:v>
      </x:c>
      <x:c r="B64" s="64" t="str">
        <x:v>current_self_harm_ideation</x:v>
      </x:c>
      <x:c r="C64" s="64" t="str">
        <x:v>Current self-harm ideation</x:v>
      </x:c>
      <x:c r="D64" s="64" t="str">
        <x:v>behavioral_risk</x:v>
      </x:c>
      <x:c r="E64" s="64" t="str">
        <x:v>string</x:v>
      </x:c>
      <x:c r="F64" s="65" t="b">
        <x:v>1</x:v>
      </x:c>
      <x:c r="G64" s="64" t="str">
        <x:v>Behavior &amp; Safety</x:v>
      </x:c>
      <x:c r="H64" s="64" t="str">
        <x:v>C16</x:v>
      </x:c>
      <x:c r="I64" s="64" t="str">
        <x:f>IF('Behavior &amp; Safety'!C16="","",'Behavior &amp; Safety'!C16)</x:f>
      </x:c>
      <x:c r="J64" s="64" t="n">
        <x:f>IF(LEN(I64)&gt;0,1,0)</x:f>
        <x:v>0</x:v>
      </x:c>
      <x:c r="K64" s="64" t="n">
        <x:f>IF(AND(F64=TRUE,LEN(I64)&gt;0),1,0)</x:f>
        <x:v>0</x:v>
      </x:c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4" t="str">
        <x:v>PIPELINE_ASSESSMENT_WORKBOOK_V1</x:v>
      </x:c>
      <x:c r="B65" s="64" t="str">
        <x:v>current_self_harm_details</x:v>
      </x:c>
      <x:c r="C65" s="64" t="str">
        <x:v>Current self-harm ideation details</x:v>
      </x:c>
      <x:c r="D65" s="64" t="str">
        <x:v>behavioral_risk</x:v>
      </x:c>
      <x:c r="E65" s="64" t="str">
        <x:v>string</x:v>
      </x:c>
      <x:c r="F65" s="65" t="b">
        <x:v>0</x:v>
      </x:c>
      <x:c r="G65" s="64" t="str">
        <x:v>Behavior &amp; Safety</x:v>
      </x:c>
      <x:c r="H65" s="64" t="str">
        <x:v>C17</x:v>
      </x:c>
      <x:c r="I65" s="64" t="str">
        <x:f>IF('Behavior &amp; Safety'!C17="","",'Behavior &amp; Safety'!C17)</x:f>
      </x:c>
      <x:c r="J65" s="64" t="n">
        <x:f>IF(LEN(I65)&gt;0,1,0)</x:f>
        <x:v>0</x:v>
      </x:c>
      <x:c r="K65" s="64" t="n">
        <x:f>IF(AND(F65=TRUE,LEN(I65)&gt;0),1,0)</x:f>
        <x:v>0</x:v>
      </x:c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4" t="str">
        <x:v>PIPELINE_ASSESSMENT_WORKBOOK_V1</x:v>
      </x:c>
      <x:c r="B66" s="64" t="str">
        <x:v>current_safety_measures</x:v>
      </x:c>
      <x:c r="C66" s="64" t="str">
        <x:v>Current safety measures</x:v>
      </x:c>
      <x:c r="D66" s="64" t="str">
        <x:v>behavioral_risk</x:v>
      </x:c>
      <x:c r="E66" s="64" t="str">
        <x:v>string</x:v>
      </x:c>
      <x:c r="F66" s="65" t="b">
        <x:v>0</x:v>
      </x:c>
      <x:c r="G66" s="64" t="str">
        <x:v>Behavior &amp; Safety</x:v>
      </x:c>
      <x:c r="H66" s="64" t="str">
        <x:v>C18</x:v>
      </x:c>
      <x:c r="I66" s="64" t="str">
        <x:f>IF('Behavior &amp; Safety'!C18="","",'Behavior &amp; Safety'!C18)</x:f>
      </x:c>
      <x:c r="J66" s="64" t="n">
        <x:f>IF(LEN(I66)&gt;0,1,0)</x:f>
        <x:v>0</x:v>
      </x:c>
      <x:c r="K66" s="64" t="n">
        <x:f>IF(AND(F66=TRUE,LEN(I66)&gt;0),1,0)</x:f>
        <x:v>0</x:v>
      </x:c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4" t="str">
        <x:v>PIPELINE_ASSESSMENT_WORKBOOK_V1</x:v>
      </x:c>
      <x:c r="B67" s="64" t="str">
        <x:v>assault_history</x:v>
      </x:c>
      <x:c r="C67" s="64" t="str">
        <x:v>History of assaults</x:v>
      </x:c>
      <x:c r="D67" s="64" t="str">
        <x:v>behavioral_risk</x:v>
      </x:c>
      <x:c r="E67" s="64" t="str">
        <x:v>string</x:v>
      </x:c>
      <x:c r="F67" s="65" t="b">
        <x:v>1</x:v>
      </x:c>
      <x:c r="G67" s="64" t="str">
        <x:v>Behavior &amp; Safety</x:v>
      </x:c>
      <x:c r="H67" s="64" t="str">
        <x:v>C19</x:v>
      </x:c>
      <x:c r="I67" s="64" t="str">
        <x:f>IF('Behavior &amp; Safety'!C19="","",'Behavior &amp; Safety'!C19)</x:f>
      </x:c>
      <x:c r="J67" s="64" t="n">
        <x:f>IF(LEN(I67)&gt;0,1,0)</x:f>
        <x:v>0</x:v>
      </x:c>
      <x:c r="K67" s="64" t="n">
        <x:f>IF(AND(F67=TRUE,LEN(I67)&gt;0),1,0)</x:f>
        <x:v>0</x:v>
      </x:c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4" t="str">
        <x:v>PIPELINE_ASSESSMENT_WORKBOOK_V1</x:v>
      </x:c>
      <x:c r="B68" s="64" t="str">
        <x:v>last_assault_details</x:v>
      </x:c>
      <x:c r="C68" s="64" t="str">
        <x:v>Most recent assault</x:v>
      </x:c>
      <x:c r="D68" s="64" t="str">
        <x:v>behavioral_risk</x:v>
      </x:c>
      <x:c r="E68" s="64" t="str">
        <x:v>string</x:v>
      </x:c>
      <x:c r="F68" s="65" t="b">
        <x:v>0</x:v>
      </x:c>
      <x:c r="G68" s="64" t="str">
        <x:v>Behavior &amp; Safety</x:v>
      </x:c>
      <x:c r="H68" s="64" t="str">
        <x:v>C20</x:v>
      </x:c>
      <x:c r="I68" s="64" t="str">
        <x:f>IF('Behavior &amp; Safety'!C20="","",'Behavior &amp; Safety'!C20)</x:f>
      </x:c>
      <x:c r="J68" s="64" t="n">
        <x:f>IF(LEN(I68)&gt;0,1,0)</x:f>
        <x:v>0</x:v>
      </x:c>
      <x:c r="K68" s="64" t="n">
        <x:f>IF(AND(F68=TRUE,LEN(I68)&gt;0),1,0)</x:f>
        <x:v>0</x:v>
      </x:c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4" t="str">
        <x:v>PIPELINE_ASSESSMENT_WORKBOOK_V1</x:v>
      </x:c>
      <x:c r="B69" s="64" t="str">
        <x:v>assaults_last_two_years_count</x:v>
      </x:c>
      <x:c r="C69" s="64" t="str">
        <x:v>Assaults in the last two years</x:v>
      </x:c>
      <x:c r="D69" s="64" t="str">
        <x:v>behavioral_risk</x:v>
      </x:c>
      <x:c r="E69" s="64" t="str">
        <x:v>integer</x:v>
      </x:c>
      <x:c r="F69" s="65" t="b">
        <x:v>0</x:v>
      </x:c>
      <x:c r="G69" s="64" t="str">
        <x:v>Behavior &amp; Safety</x:v>
      </x:c>
      <x:c r="H69" s="64" t="str">
        <x:v>C21</x:v>
      </x:c>
      <x:c r="I69" s="64" t="str">
        <x:f>IF('Behavior &amp; Safety'!C21="","",'Behavior &amp; Safety'!C21)</x:f>
      </x:c>
      <x:c r="J69" s="64" t="n">
        <x:f>IF(LEN(I69)&gt;0,1,0)</x:f>
        <x:v>0</x:v>
      </x:c>
      <x:c r="K69" s="64" t="n">
        <x:f>IF(AND(F69=TRUE,LEN(I69)&gt;0),1,0)</x:f>
        <x:v>0</x:v>
      </x:c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4" t="str">
        <x:v>PIPELINE_ASSESSMENT_WORKBOOK_V1</x:v>
      </x:c>
      <x:c r="B70" s="64" t="str">
        <x:v>elopement_history</x:v>
      </x:c>
      <x:c r="C70" s="64" t="str">
        <x:v>History of elopement</x:v>
      </x:c>
      <x:c r="D70" s="64" t="str">
        <x:v>behavioral_risk</x:v>
      </x:c>
      <x:c r="E70" s="64" t="str">
        <x:v>string</x:v>
      </x:c>
      <x:c r="F70" s="65" t="b">
        <x:v>1</x:v>
      </x:c>
      <x:c r="G70" s="64" t="str">
        <x:v>Behavior &amp; Safety</x:v>
      </x:c>
      <x:c r="H70" s="64" t="str">
        <x:v>C22</x:v>
      </x:c>
      <x:c r="I70" s="64" t="str">
        <x:f>IF('Behavior &amp; Safety'!C22="","",'Behavior &amp; Safety'!C22)</x:f>
      </x:c>
      <x:c r="J70" s="64" t="n">
        <x:f>IF(LEN(I70)&gt;0,1,0)</x:f>
        <x:v>0</x:v>
      </x:c>
      <x:c r="K70" s="64" t="n">
        <x:f>IF(AND(F70=TRUE,LEN(I70)&gt;0),1,0)</x:f>
        <x:v>0</x:v>
      </x:c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4" t="str">
        <x:v>PIPELINE_ASSESSMENT_WORKBOOK_V1</x:v>
      </x:c>
      <x:c r="B71" s="64" t="str">
        <x:v>auditory_hallucinations</x:v>
      </x:c>
      <x:c r="C71" s="64" t="str">
        <x:v>Auditory hallucinations</x:v>
      </x:c>
      <x:c r="D71" s="64" t="str">
        <x:v>behavioral_risk</x:v>
      </x:c>
      <x:c r="E71" s="64" t="str">
        <x:v>string</x:v>
      </x:c>
      <x:c r="F71" s="65" t="b">
        <x:v>1</x:v>
      </x:c>
      <x:c r="G71" s="64" t="str">
        <x:v>Behavior &amp; Safety</x:v>
      </x:c>
      <x:c r="H71" s="64" t="str">
        <x:v>C23</x:v>
      </x:c>
      <x:c r="I71" s="64" t="str">
        <x:f>IF('Behavior &amp; Safety'!C23="","",'Behavior &amp; Safety'!C23)</x:f>
      </x:c>
      <x:c r="J71" s="64" t="n">
        <x:f>IF(LEN(I71)&gt;0,1,0)</x:f>
        <x:v>0</x:v>
      </x:c>
      <x:c r="K71" s="64" t="n">
        <x:f>IF(AND(F71=TRUE,LEN(I71)&gt;0),1,0)</x:f>
        <x:v>0</x:v>
      </x:c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4" t="str">
        <x:v>PIPELINE_ASSESSMENT_WORKBOOK_V1</x:v>
      </x:c>
      <x:c r="B72" s="64" t="str">
        <x:v>auditory_hallucination_nature</x:v>
      </x:c>
      <x:c r="C72" s="64" t="str">
        <x:v>Nature of auditory hallucinations</x:v>
      </x:c>
      <x:c r="D72" s="64" t="str">
        <x:v>behavioral_risk</x:v>
      </x:c>
      <x:c r="E72" s="64" t="str">
        <x:v>string</x:v>
      </x:c>
      <x:c r="F72" s="65" t="b">
        <x:v>0</x:v>
      </x:c>
      <x:c r="G72" s="64" t="str">
        <x:v>Behavior &amp; Safety</x:v>
      </x:c>
      <x:c r="H72" s="64" t="str">
        <x:v>C24</x:v>
      </x:c>
      <x:c r="I72" s="64" t="str">
        <x:f>IF('Behavior &amp; Safety'!C24="","",'Behavior &amp; Safety'!C24)</x:f>
      </x:c>
      <x:c r="J72" s="64" t="n">
        <x:f>IF(LEN(I72)&gt;0,1,0)</x:f>
        <x:v>0</x:v>
      </x:c>
      <x:c r="K72" s="64" t="n">
        <x:f>IF(AND(F72=TRUE,LEN(I72)&gt;0),1,0)</x:f>
        <x:v>0</x:v>
      </x:c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4" t="str">
        <x:v>PIPELINE_ASSESSMENT_WORKBOOK_V1</x:v>
      </x:c>
      <x:c r="B73" s="64" t="str">
        <x:v>auditory_hallucination_frequency</x:v>
      </x:c>
      <x:c r="C73" s="64" t="str">
        <x:v>Current auditory frequency</x:v>
      </x:c>
      <x:c r="D73" s="64" t="str">
        <x:v>behavioral_risk</x:v>
      </x:c>
      <x:c r="E73" s="64" t="str">
        <x:v>string</x:v>
      </x:c>
      <x:c r="F73" s="65" t="b">
        <x:v>0</x:v>
      </x:c>
      <x:c r="G73" s="64" t="str">
        <x:v>Behavior &amp; Safety</x:v>
      </x:c>
      <x:c r="H73" s="64" t="str">
        <x:v>C25</x:v>
      </x:c>
      <x:c r="I73" s="64" t="str">
        <x:f>IF('Behavior &amp; Safety'!C25="","",'Behavior &amp; Safety'!C25)</x:f>
      </x:c>
      <x:c r="J73" s="64" t="n">
        <x:f>IF(LEN(I73)&gt;0,1,0)</x:f>
        <x:v>0</x:v>
      </x:c>
      <x:c r="K73" s="64" t="n">
        <x:f>IF(AND(F73=TRUE,LEN(I73)&gt;0),1,0)</x:f>
        <x:v>0</x:v>
      </x:c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4" t="str">
        <x:v>PIPELINE_ASSESSMENT_WORKBOOK_V1</x:v>
      </x:c>
      <x:c r="B74" s="64" t="str">
        <x:v>auditory_hallucination_triggers</x:v>
      </x:c>
      <x:c r="C74" s="64" t="str">
        <x:v>Auditory triggers</x:v>
      </x:c>
      <x:c r="D74" s="64" t="str">
        <x:v>behavioral_risk</x:v>
      </x:c>
      <x:c r="E74" s="64" t="str">
        <x:v>string</x:v>
      </x:c>
      <x:c r="F74" s="65" t="b">
        <x:v>0</x:v>
      </x:c>
      <x:c r="G74" s="64" t="str">
        <x:v>Behavior &amp; Safety</x:v>
      </x:c>
      <x:c r="H74" s="64" t="str">
        <x:v>C26</x:v>
      </x:c>
      <x:c r="I74" s="64" t="str">
        <x:f>IF('Behavior &amp; Safety'!C26="","",'Behavior &amp; Safety'!C26)</x:f>
      </x:c>
      <x:c r="J74" s="64" t="n">
        <x:f>IF(LEN(I74)&gt;0,1,0)</x:f>
        <x:v>0</x:v>
      </x:c>
      <x:c r="K74" s="64" t="n">
        <x:f>IF(AND(F74=TRUE,LEN(I74)&gt;0),1,0)</x:f>
        <x:v>0</x:v>
      </x:c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4" t="str">
        <x:v>PIPELINE_ASSESSMENT_WORKBOOK_V1</x:v>
      </x:c>
      <x:c r="B75" s="64" t="str">
        <x:v>visual_hallucinations</x:v>
      </x:c>
      <x:c r="C75" s="64" t="str">
        <x:v>Visual hallucinations</x:v>
      </x:c>
      <x:c r="D75" s="64" t="str">
        <x:v>behavioral_risk</x:v>
      </x:c>
      <x:c r="E75" s="64" t="str">
        <x:v>string</x:v>
      </x:c>
      <x:c r="F75" s="65" t="b">
        <x:v>1</x:v>
      </x:c>
      <x:c r="G75" s="64" t="str">
        <x:v>Behavior &amp; Safety</x:v>
      </x:c>
      <x:c r="H75" s="64" t="str">
        <x:v>C27</x:v>
      </x:c>
      <x:c r="I75" s="64" t="str">
        <x:f>IF('Behavior &amp; Safety'!C27="","",'Behavior &amp; Safety'!C27)</x:f>
      </x:c>
      <x:c r="J75" s="64" t="n">
        <x:f>IF(LEN(I75)&gt;0,1,0)</x:f>
        <x:v>0</x:v>
      </x:c>
      <x:c r="K75" s="64" t="n">
        <x:f>IF(AND(F75=TRUE,LEN(I75)&gt;0),1,0)</x:f>
        <x:v>0</x:v>
      </x:c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4" t="str">
        <x:v>PIPELINE_ASSESSMENT_WORKBOOK_V1</x:v>
      </x:c>
      <x:c r="B76" s="64" t="str">
        <x:v>visual_hallucination_details</x:v>
      </x:c>
      <x:c r="C76" s="64" t="str">
        <x:v>Nature and frequency of visual hallucinations</x:v>
      </x:c>
      <x:c r="D76" s="64" t="str">
        <x:v>behavioral_risk</x:v>
      </x:c>
      <x:c r="E76" s="64" t="str">
        <x:v>string</x:v>
      </x:c>
      <x:c r="F76" s="65" t="b">
        <x:v>0</x:v>
      </x:c>
      <x:c r="G76" s="64" t="str">
        <x:v>Behavior &amp; Safety</x:v>
      </x:c>
      <x:c r="H76" s="64" t="str">
        <x:v>C28</x:v>
      </x:c>
      <x:c r="I76" s="64" t="str">
        <x:f>IF('Behavior &amp; Safety'!C28="","",'Behavior &amp; Safety'!C28)</x:f>
      </x:c>
      <x:c r="J76" s="64" t="n">
        <x:f>IF(LEN(I76)&gt;0,1,0)</x:f>
        <x:v>0</x:v>
      </x:c>
      <x:c r="K76" s="64" t="n">
        <x:f>IF(AND(F76=TRUE,LEN(I76)&gt;0),1,0)</x:f>
        <x:v>0</x:v>
      </x:c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4" t="str">
        <x:v>PIPELINE_ASSESSMENT_WORKBOOK_V1</x:v>
      </x:c>
      <x:c r="B77" s="64" t="str">
        <x:v>visual_hallucination_recent</x:v>
      </x:c>
      <x:c r="C77" s="64" t="str">
        <x:v>Recent visual hallucinations</x:v>
      </x:c>
      <x:c r="D77" s="64" t="str">
        <x:v>behavioral_risk</x:v>
      </x:c>
      <x:c r="E77" s="64" t="str">
        <x:v>string</x:v>
      </x:c>
      <x:c r="F77" s="65" t="b">
        <x:v>0</x:v>
      </x:c>
      <x:c r="G77" s="64" t="str">
        <x:v>Behavior &amp; Safety</x:v>
      </x:c>
      <x:c r="H77" s="64" t="str">
        <x:v>C29</x:v>
      </x:c>
      <x:c r="I77" s="64" t="str">
        <x:f>IF('Behavior &amp; Safety'!C29="","",'Behavior &amp; Safety'!C29)</x:f>
      </x:c>
      <x:c r="J77" s="64" t="n">
        <x:f>IF(LEN(I77)&gt;0,1,0)</x:f>
        <x:v>0</x:v>
      </x:c>
      <x:c r="K77" s="64" t="n">
        <x:f>IF(AND(F77=TRUE,LEN(I77)&gt;0),1,0)</x:f>
        <x:v>0</x:v>
      </x:c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4" t="str">
        <x:v>PIPELINE_ASSESSMENT_WORKBOOK_V1</x:v>
      </x:c>
      <x:c r="B78" s="64" t="str">
        <x:v>olfactory_hallucinations</x:v>
      </x:c>
      <x:c r="C78" s="64" t="str">
        <x:v>Olfactory hallucinations</x:v>
      </x:c>
      <x:c r="D78" s="64" t="str">
        <x:v>behavioral_risk</x:v>
      </x:c>
      <x:c r="E78" s="64" t="str">
        <x:v>string</x:v>
      </x:c>
      <x:c r="F78" s="65" t="b">
        <x:v>1</x:v>
      </x:c>
      <x:c r="G78" s="64" t="str">
        <x:v>Behavior &amp; Safety</x:v>
      </x:c>
      <x:c r="H78" s="64" t="str">
        <x:v>C30</x:v>
      </x:c>
      <x:c r="I78" s="64" t="str">
        <x:f>IF('Behavior &amp; Safety'!C30="","",'Behavior &amp; Safety'!C30)</x:f>
      </x:c>
      <x:c r="J78" s="64" t="n">
        <x:f>IF(LEN(I78)&gt;0,1,0)</x:f>
        <x:v>0</x:v>
      </x:c>
      <x:c r="K78" s="64" t="n">
        <x:f>IF(AND(F78=TRUE,LEN(I78)&gt;0),1,0)</x:f>
        <x:v>0</x:v>
      </x:c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4" t="str">
        <x:v>PIPELINE_ASSESSMENT_WORKBOOK_V1</x:v>
      </x:c>
      <x:c r="B79" s="64" t="str">
        <x:v>olfactory_hallucination_details</x:v>
      </x:c>
      <x:c r="C79" s="64" t="str">
        <x:v>Olfactory hallucination details</x:v>
      </x:c>
      <x:c r="D79" s="64" t="str">
        <x:v>behavioral_risk</x:v>
      </x:c>
      <x:c r="E79" s="64" t="str">
        <x:v>string</x:v>
      </x:c>
      <x:c r="F79" s="65" t="b">
        <x:v>0</x:v>
      </x:c>
      <x:c r="G79" s="64" t="str">
        <x:v>Behavior &amp; Safety</x:v>
      </x:c>
      <x:c r="H79" s="64" t="str">
        <x:v>C31</x:v>
      </x:c>
      <x:c r="I79" s="64" t="str">
        <x:f>IF('Behavior &amp; Safety'!C31="","",'Behavior &amp; Safety'!C31)</x:f>
      </x:c>
      <x:c r="J79" s="64" t="n">
        <x:f>IF(LEN(I79)&gt;0,1,0)</x:f>
        <x:v>0</x:v>
      </x:c>
      <x:c r="K79" s="64" t="n">
        <x:f>IF(AND(F79=TRUE,LEN(I79)&gt;0),1,0)</x:f>
        <x:v>0</x:v>
      </x:c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4" t="str">
        <x:v>PIPELINE_ASSESSMENT_WORKBOOK_V1</x:v>
      </x:c>
      <x:c r="B80" s="64" t="str">
        <x:v>olfactory_hallucination_impact</x:v>
      </x:c>
      <x:c r="C80" s="64" t="str">
        <x:v>Impact of olfactory hallucinations</x:v>
      </x:c>
      <x:c r="D80" s="64" t="str">
        <x:v>behavioral_risk</x:v>
      </x:c>
      <x:c r="E80" s="64" t="str">
        <x:v>string</x:v>
      </x:c>
      <x:c r="F80" s="65" t="b">
        <x:v>0</x:v>
      </x:c>
      <x:c r="G80" s="64" t="str">
        <x:v>Behavior &amp; Safety</x:v>
      </x:c>
      <x:c r="H80" s="64" t="str">
        <x:v>C32</x:v>
      </x:c>
      <x:c r="I80" s="64" t="str">
        <x:f>IF('Behavior &amp; Safety'!C32="","",'Behavior &amp; Safety'!C32)</x:f>
      </x:c>
      <x:c r="J80" s="64" t="n">
        <x:f>IF(LEN(I80)&gt;0,1,0)</x:f>
        <x:v>0</x:v>
      </x:c>
      <x:c r="K80" s="64" t="n">
        <x:f>IF(AND(F80=TRUE,LEN(I80)&gt;0),1,0)</x:f>
        <x:v>0</x:v>
      </x:c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4" t="str">
        <x:v>PIPELINE_ASSESSMENT_WORKBOOK_V1</x:v>
      </x:c>
      <x:c r="B81" s="64" t="str">
        <x:v>tactile_hallucinations</x:v>
      </x:c>
      <x:c r="C81" s="64" t="str">
        <x:v>Tactile hallucinations</x:v>
      </x:c>
      <x:c r="D81" s="64" t="str">
        <x:v>behavioral_risk</x:v>
      </x:c>
      <x:c r="E81" s="64" t="str">
        <x:v>string</x:v>
      </x:c>
      <x:c r="F81" s="65" t="b">
        <x:v>1</x:v>
      </x:c>
      <x:c r="G81" s="64" t="str">
        <x:v>Behavior &amp; Safety</x:v>
      </x:c>
      <x:c r="H81" s="64" t="str">
        <x:v>C33</x:v>
      </x:c>
      <x:c r="I81" s="64" t="str">
        <x:f>IF('Behavior &amp; Safety'!C33="","",'Behavior &amp; Safety'!C33)</x:f>
      </x:c>
      <x:c r="J81" s="64" t="n">
        <x:f>IF(LEN(I81)&gt;0,1,0)</x:f>
        <x:v>0</x:v>
      </x:c>
      <x:c r="K81" s="64" t="n">
        <x:f>IF(AND(F81=TRUE,LEN(I81)&gt;0),1,0)</x:f>
        <x:v>0</x:v>
      </x:c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4" t="str">
        <x:v>PIPELINE_ASSESSMENT_WORKBOOK_V1</x:v>
      </x:c>
      <x:c r="B82" s="64" t="str">
        <x:v>tactile_hallucination_details</x:v>
      </x:c>
      <x:c r="C82" s="64" t="str">
        <x:v>Tactile hallucination details</x:v>
      </x:c>
      <x:c r="D82" s="64" t="str">
        <x:v>behavioral_risk</x:v>
      </x:c>
      <x:c r="E82" s="64" t="str">
        <x:v>string</x:v>
      </x:c>
      <x:c r="F82" s="65" t="b">
        <x:v>0</x:v>
      </x:c>
      <x:c r="G82" s="64" t="str">
        <x:v>Behavior &amp; Safety</x:v>
      </x:c>
      <x:c r="H82" s="64" t="str">
        <x:v>C34</x:v>
      </x:c>
      <x:c r="I82" s="64" t="str">
        <x:f>IF('Behavior &amp; Safety'!C34="","",'Behavior &amp; Safety'!C34)</x:f>
      </x:c>
      <x:c r="J82" s="64" t="n">
        <x:f>IF(LEN(I82)&gt;0,1,0)</x:f>
        <x:v>0</x:v>
      </x:c>
      <x:c r="K82" s="64" t="n">
        <x:f>IF(AND(F82=TRUE,LEN(I82)&gt;0),1,0)</x:f>
        <x:v>0</x:v>
      </x:c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4" t="str">
        <x:v>PIPELINE_ASSESSMENT_WORKBOOK_V1</x:v>
      </x:c>
      <x:c r="B83" s="64" t="str">
        <x:v>tactile_hallucination_frequency</x:v>
      </x:c>
      <x:c r="C83" s="64" t="str">
        <x:v>Tactile hallucination frequency</x:v>
      </x:c>
      <x:c r="D83" s="64" t="str">
        <x:v>behavioral_risk</x:v>
      </x:c>
      <x:c r="E83" s="64" t="str">
        <x:v>string</x:v>
      </x:c>
      <x:c r="F83" s="65" t="b">
        <x:v>0</x:v>
      </x:c>
      <x:c r="G83" s="64" t="str">
        <x:v>Behavior &amp; Safety</x:v>
      </x:c>
      <x:c r="H83" s="64" t="str">
        <x:v>C35</x:v>
      </x:c>
      <x:c r="I83" s="64" t="str">
        <x:f>IF('Behavior &amp; Safety'!C35="","",'Behavior &amp; Safety'!C35)</x:f>
      </x:c>
      <x:c r="J83" s="64" t="n">
        <x:f>IF(LEN(I83)&gt;0,1,0)</x:f>
        <x:v>0</x:v>
      </x:c>
      <x:c r="K83" s="64" t="n">
        <x:f>IF(AND(F83=TRUE,LEN(I83)&gt;0),1,0)</x:f>
        <x:v>0</x:v>
      </x:c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4" t="str">
        <x:v>PIPELINE_ASSESSMENT_WORKBOOK_V1</x:v>
      </x:c>
      <x:c r="B84" s="64" t="str">
        <x:v>gustatory_hallucinations</x:v>
      </x:c>
      <x:c r="C84" s="64" t="str">
        <x:v>Gustatory hallucinations</x:v>
      </x:c>
      <x:c r="D84" s="64" t="str">
        <x:v>behavioral_risk</x:v>
      </x:c>
      <x:c r="E84" s="64" t="str">
        <x:v>string</x:v>
      </x:c>
      <x:c r="F84" s="65" t="b">
        <x:v>1</x:v>
      </x:c>
      <x:c r="G84" s="64" t="str">
        <x:v>Behavior &amp; Safety</x:v>
      </x:c>
      <x:c r="H84" s="64" t="str">
        <x:v>C36</x:v>
      </x:c>
      <x:c r="I84" s="64" t="str">
        <x:f>IF('Behavior &amp; Safety'!C36="","",'Behavior &amp; Safety'!C36)</x:f>
      </x:c>
      <x:c r="J84" s="64" t="n">
        <x:f>IF(LEN(I84)&gt;0,1,0)</x:f>
        <x:v>0</x:v>
      </x:c>
      <x:c r="K84" s="64" t="n">
        <x:f>IF(AND(F84=TRUE,LEN(I84)&gt;0),1,0)</x:f>
        <x:v>0</x:v>
      </x:c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4" t="str">
        <x:v>PIPELINE_ASSESSMENT_WORKBOOK_V1</x:v>
      </x:c>
      <x:c r="B85" s="64" t="str">
        <x:v>gustatory_hallucination_details</x:v>
      </x:c>
      <x:c r="C85" s="64" t="str">
        <x:v>Gustatory hallucination details</x:v>
      </x:c>
      <x:c r="D85" s="64" t="str">
        <x:v>behavioral_risk</x:v>
      </x:c>
      <x:c r="E85" s="64" t="str">
        <x:v>string</x:v>
      </x:c>
      <x:c r="F85" s="65" t="b">
        <x:v>0</x:v>
      </x:c>
      <x:c r="G85" s="64" t="str">
        <x:v>Behavior &amp; Safety</x:v>
      </x:c>
      <x:c r="H85" s="64" t="str">
        <x:v>C37</x:v>
      </x:c>
      <x:c r="I85" s="64" t="str">
        <x:f>IF('Behavior &amp; Safety'!C37="","",'Behavior &amp; Safety'!C37)</x:f>
      </x:c>
      <x:c r="J85" s="64" t="n">
        <x:f>IF(LEN(I85)&gt;0,1,0)</x:f>
        <x:v>0</x:v>
      </x:c>
      <x:c r="K85" s="64" t="n">
        <x:f>IF(AND(F85=TRUE,LEN(I85)&gt;0),1,0)</x:f>
        <x:v>0</x:v>
      </x:c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4" t="str">
        <x:v>PIPELINE_ASSESSMENT_WORKBOOK_V1</x:v>
      </x:c>
      <x:c r="B86" s="64" t="str">
        <x:v>hallucination_coping_strategies</x:v>
      </x:c>
      <x:c r="C86" s="64" t="str">
        <x:v>Hallucination coping strategies</x:v>
      </x:c>
      <x:c r="D86" s="64" t="str">
        <x:v>behavioral_risk</x:v>
      </x:c>
      <x:c r="E86" s="64" t="str">
        <x:v>string</x:v>
      </x:c>
      <x:c r="F86" s="65" t="b">
        <x:v>0</x:v>
      </x:c>
      <x:c r="G86" s="64" t="str">
        <x:v>Behavior &amp; Safety</x:v>
      </x:c>
      <x:c r="H86" s="64" t="str">
        <x:v>C38</x:v>
      </x:c>
      <x:c r="I86" s="64" t="str">
        <x:f>IF('Behavior &amp; Safety'!C38="","",'Behavior &amp; Safety'!C38)</x:f>
      </x:c>
      <x:c r="J86" s="64" t="n">
        <x:f>IF(LEN(I86)&gt;0,1,0)</x:f>
        <x:v>0</x:v>
      </x:c>
      <x:c r="K86" s="64" t="n">
        <x:f>IF(AND(F86=TRUE,LEN(I86)&gt;0),1,0)</x:f>
        <x:v>0</x:v>
      </x:c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4" t="str">
        <x:v>PIPELINE_ASSESSMENT_WORKBOOK_V1</x:v>
      </x:c>
      <x:c r="B87" s="64" t="str">
        <x:v>hallucination_distress_impairment</x:v>
      </x:c>
      <x:c r="C87" s="64" t="str">
        <x:v>Hallucination distress or impairment</x:v>
      </x:c>
      <x:c r="D87" s="64" t="str">
        <x:v>behavioral_risk</x:v>
      </x:c>
      <x:c r="E87" s="64" t="str">
        <x:v>string</x:v>
      </x:c>
      <x:c r="F87" s="65" t="b">
        <x:v>0</x:v>
      </x:c>
      <x:c r="G87" s="64" t="str">
        <x:v>Behavior &amp; Safety</x:v>
      </x:c>
      <x:c r="H87" s="64" t="str">
        <x:v>C39</x:v>
      </x:c>
      <x:c r="I87" s="64" t="str">
        <x:f>IF('Behavior &amp; Safety'!C39="","",'Behavior &amp; Safety'!C39)</x:f>
      </x:c>
      <x:c r="J87" s="64" t="n">
        <x:f>IF(LEN(I87)&gt;0,1,0)</x:f>
        <x:v>0</x:v>
      </x:c>
      <x:c r="K87" s="64" t="n">
        <x:f>IF(AND(F87=TRUE,LEN(I87)&gt;0),1,0)</x:f>
        <x:v>0</x:v>
      </x:c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4" t="str">
        <x:v>PIPELINE_ASSESSMENT_WORKBOOK_V1</x:v>
      </x:c>
      <x:c r="B88" s="64" t="str">
        <x:v>hallucination_functional_impact</x:v>
      </x:c>
      <x:c r="C88" s="64" t="str">
        <x:v>Impact on daily functioning</x:v>
      </x:c>
      <x:c r="D88" s="64" t="str">
        <x:v>behavioral_risk</x:v>
      </x:c>
      <x:c r="E88" s="64" t="str">
        <x:v>string</x:v>
      </x:c>
      <x:c r="F88" s="65" t="b">
        <x:v>0</x:v>
      </x:c>
      <x:c r="G88" s="64" t="str">
        <x:v>Behavior &amp; Safety</x:v>
      </x:c>
      <x:c r="H88" s="64" t="str">
        <x:v>C40</x:v>
      </x:c>
      <x:c r="I88" s="64" t="str">
        <x:f>IF('Behavior &amp; Safety'!C40="","",'Behavior &amp; Safety'!C40)</x:f>
      </x:c>
      <x:c r="J88" s="64" t="n">
        <x:f>IF(LEN(I88)&gt;0,1,0)</x:f>
        <x:v>0</x:v>
      </x:c>
      <x:c r="K88" s="64" t="n">
        <x:f>IF(AND(F88=TRUE,LEN(I88)&gt;0),1,0)</x:f>
        <x:v>0</x:v>
      </x:c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4" t="str">
        <x:v>PIPELINE_ASSESSMENT_WORKBOOK_V1</x:v>
      </x:c>
      <x:c r="B89" s="64" t="str">
        <x:v>hallucination_treatment_history</x:v>
      </x:c>
      <x:c r="C89" s="64" t="str">
        <x:v>Professional discussion and treatment</x:v>
      </x:c>
      <x:c r="D89" s="64" t="str">
        <x:v>behavioral_risk</x:v>
      </x:c>
      <x:c r="E89" s="64" t="str">
        <x:v>string</x:v>
      </x:c>
      <x:c r="F89" s="65" t="b">
        <x:v>0</x:v>
      </x:c>
      <x:c r="G89" s="64" t="str">
        <x:v>Behavior &amp; Safety</x:v>
      </x:c>
      <x:c r="H89" s="64" t="str">
        <x:v>C41</x:v>
      </x:c>
      <x:c r="I89" s="64" t="str">
        <x:f>IF('Behavior &amp; Safety'!C41="","",'Behavior &amp; Safety'!C41)</x:f>
      </x:c>
      <x:c r="J89" s="64" t="n">
        <x:f>IF(LEN(I89)&gt;0,1,0)</x:f>
        <x:v>0</x:v>
      </x:c>
      <x:c r="K89" s="64" t="n">
        <x:f>IF(AND(F89=TRUE,LEN(I89)&gt;0),1,0)</x:f>
        <x:v>0</x:v>
      </x:c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4" t="str">
        <x:v>PIPELINE_ASSESSMENT_WORKBOOK_V1</x:v>
      </x:c>
      <x:c r="B90" s="64" t="str">
        <x:v>conservatorship_status</x:v>
      </x:c>
      <x:c r="C90" s="64" t="str">
        <x:v>Conservatorship status</x:v>
      </x:c>
      <x:c r="D90" s="64" t="str">
        <x:v>legal_conservatorship</x:v>
      </x:c>
      <x:c r="E90" s="64" t="str">
        <x:v>string</x:v>
      </x:c>
      <x:c r="F90" s="65" t="b">
        <x:v>0</x:v>
      </x:c>
      <x:c r="G90" s="64" t="str">
        <x:v>Legal</x:v>
      </x:c>
      <x:c r="H90" s="64" t="str">
        <x:v>C6</x:v>
      </x:c>
      <x:c r="I90" s="64" t="str">
        <x:f>IF('Legal'!C6="","",'Legal'!C6)</x:f>
      </x:c>
      <x:c r="J90" s="64" t="n">
        <x:f>IF(LEN(I90)&gt;0,1,0)</x:f>
        <x:v>0</x:v>
      </x:c>
      <x:c r="K90" s="64" t="n">
        <x:f>IF(AND(F90=TRUE,LEN(I90)&gt;0),1,0)</x:f>
        <x:v>0</x:v>
      </x:c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4" t="str">
        <x:v>PIPELINE_ASSESSMENT_WORKBOOK_V1</x:v>
      </x:c>
      <x:c r="B91" s="64" t="str">
        <x:v>conservatorship_type</x:v>
      </x:c>
      <x:c r="C91" s="64" t="str">
        <x:v>Conservatorship type</x:v>
      </x:c>
      <x:c r="D91" s="64" t="str">
        <x:v>legal_conservatorship</x:v>
      </x:c>
      <x:c r="E91" s="64" t="str">
        <x:v>string</x:v>
      </x:c>
      <x:c r="F91" s="65" t="b">
        <x:v>1</x:v>
      </x:c>
      <x:c r="G91" s="64" t="str">
        <x:v>Legal</x:v>
      </x:c>
      <x:c r="H91" s="64" t="str">
        <x:v>C7</x:v>
      </x:c>
      <x:c r="I91" s="64" t="str">
        <x:f>IF('Legal'!C7="","",'Legal'!C7)</x:f>
      </x:c>
      <x:c r="J91" s="64" t="n">
        <x:f>IF(LEN(I91)&gt;0,1,0)</x:f>
        <x:v>0</x:v>
      </x:c>
      <x:c r="K91" s="64" t="n">
        <x:f>IF(AND(F91=TRUE,LEN(I91)&gt;0),1,0)</x:f>
        <x:v>0</x:v>
      </x:c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4" t="str">
        <x:v>PIPELINE_ASSESSMENT_WORKBOOK_V1</x:v>
      </x:c>
      <x:c r="B92" s="64" t="str">
        <x:v>conservator_name</x:v>
      </x:c>
      <x:c r="C92" s="64" t="str">
        <x:v>Conservator name</x:v>
      </x:c>
      <x:c r="D92" s="64" t="str">
        <x:v>legal_conservatorship</x:v>
      </x:c>
      <x:c r="E92" s="64" t="str">
        <x:v>string</x:v>
      </x:c>
      <x:c r="F92" s="65" t="b">
        <x:v>0</x:v>
      </x:c>
      <x:c r="G92" s="64" t="str">
        <x:v>Legal</x:v>
      </x:c>
      <x:c r="H92" s="64" t="str">
        <x:v>C8</x:v>
      </x:c>
      <x:c r="I92" s="64" t="str">
        <x:f>IF('Legal'!C8="","",'Legal'!C8)</x:f>
      </x:c>
      <x:c r="J92" s="64" t="n">
        <x:f>IF(LEN(I92)&gt;0,1,0)</x:f>
        <x:v>0</x:v>
      </x:c>
      <x:c r="K92" s="64" t="n">
        <x:f>IF(AND(F92=TRUE,LEN(I92)&gt;0),1,0)</x:f>
        <x:v>0</x:v>
      </x:c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4" t="str">
        <x:v>PIPELINE_ASSESSMENT_WORKBOOK_V1</x:v>
      </x:c>
      <x:c r="B93" s="64" t="str">
        <x:v>hold_type</x:v>
      </x:c>
      <x:c r="C93" s="64" t="str">
        <x:v>Hold type</x:v>
      </x:c>
      <x:c r="D93" s="64" t="str">
        <x:v>legal_conservatorship</x:v>
      </x:c>
      <x:c r="E93" s="64" t="str">
        <x:v>string</x:v>
      </x:c>
      <x:c r="F93" s="65" t="b">
        <x:v>0</x:v>
      </x:c>
      <x:c r="G93" s="64" t="str">
        <x:v>Legal</x:v>
      </x:c>
      <x:c r="H93" s="64" t="str">
        <x:v>C9</x:v>
      </x:c>
      <x:c r="I93" s="64" t="str">
        <x:f>IF('Legal'!C9="","",'Legal'!C9)</x:f>
      </x:c>
      <x:c r="J93" s="64" t="n">
        <x:f>IF(LEN(I93)&gt;0,1,0)</x:f>
        <x:v>0</x:v>
      </x:c>
      <x:c r="K93" s="64" t="n">
        <x:f>IF(AND(F93=TRUE,LEN(I93)&gt;0),1,0)</x:f>
        <x:v>0</x:v>
      </x:c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4" t="str">
        <x:v>PIPELINE_ASSESSMENT_WORKBOOK_V1</x:v>
      </x:c>
      <x:c r="B94" s="64" t="str">
        <x:v>court_dates</x:v>
      </x:c>
      <x:c r="C94" s="64" t="str">
        <x:v>Court dates</x:v>
      </x:c>
      <x:c r="D94" s="64" t="str">
        <x:v>legal_conservatorship</x:v>
      </x:c>
      <x:c r="E94" s="64" t="str">
        <x:v>string</x:v>
      </x:c>
      <x:c r="F94" s="65" t="b">
        <x:v>0</x:v>
      </x:c>
      <x:c r="G94" s="64" t="str">
        <x:v>Legal</x:v>
      </x:c>
      <x:c r="H94" s="64" t="str">
        <x:v>C10</x:v>
      </x:c>
      <x:c r="I94" s="64" t="str">
        <x:f>IF('Legal'!C10="","",'Legal'!C10)</x:f>
      </x:c>
      <x:c r="J94" s="64" t="n">
        <x:f>IF(LEN(I94)&gt;0,1,0)</x:f>
        <x:v>0</x:v>
      </x:c>
      <x:c r="K94" s="64" t="n">
        <x:f>IF(AND(F94=TRUE,LEN(I94)&gt;0),1,0)</x:f>
        <x:v>0</x:v>
      </x:c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4" t="str">
        <x:v>PIPELINE_ASSESSMENT_WORKBOOK_V1</x:v>
      </x:c>
      <x:c r="B95" s="64" t="str">
        <x:v>probation_parole_justice</x:v>
      </x:c>
      <x:c r="C95" s="64" t="str">
        <x:v>Probation / parole / justice</x:v>
      </x:c>
      <x:c r="D95" s="64" t="str">
        <x:v>legal_conservatorship</x:v>
      </x:c>
      <x:c r="E95" s="64" t="str">
        <x:v>string</x:v>
      </x:c>
      <x:c r="F95" s="65" t="b">
        <x:v>0</x:v>
      </x:c>
      <x:c r="G95" s="64" t="str">
        <x:v>Legal</x:v>
      </x:c>
      <x:c r="H95" s="64" t="str">
        <x:v>C11</x:v>
      </x:c>
      <x:c r="I95" s="64" t="str">
        <x:f>IF('Legal'!C11="","",'Legal'!C11)</x:f>
      </x:c>
      <x:c r="J95" s="64" t="n">
        <x:f>IF(LEN(I95)&gt;0,1,0)</x:f>
        <x:v>0</x:v>
      </x:c>
      <x:c r="K95" s="64" t="n">
        <x:f>IF(AND(F95=TRUE,LEN(I95)&gt;0),1,0)</x:f>
        <x:v>0</x:v>
      </x:c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4" t="str">
        <x:v>PIPELINE_ASSESSMENT_WORKBOOK_V1</x:v>
      </x:c>
      <x:c r="B96" s="64" t="str">
        <x:v>forensic_involvement</x:v>
      </x:c>
      <x:c r="C96" s="64" t="str">
        <x:v>Forensic involvement</x:v>
      </x:c>
      <x:c r="D96" s="64" t="str">
        <x:v>legal_conservatorship</x:v>
      </x:c>
      <x:c r="E96" s="64" t="str">
        <x:v>string</x:v>
      </x:c>
      <x:c r="F96" s="65" t="b">
        <x:v>1</x:v>
      </x:c>
      <x:c r="G96" s="64" t="str">
        <x:v>Legal</x:v>
      </x:c>
      <x:c r="H96" s="64" t="str">
        <x:v>C12</x:v>
      </x:c>
      <x:c r="I96" s="64" t="str">
        <x:f>IF('Legal'!C12="","",'Legal'!C12)</x:f>
      </x:c>
      <x:c r="J96" s="64" t="n">
        <x:f>IF(LEN(I96)&gt;0,1,0)</x:f>
        <x:v>0</x:v>
      </x:c>
      <x:c r="K96" s="64" t="n">
        <x:f>IF(AND(F96=TRUE,LEN(I96)&gt;0),1,0)</x:f>
        <x:v>0</x:v>
      </x:c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4" t="str">
        <x:v>PIPELINE_ASSESSMENT_WORKBOOK_V1</x:v>
      </x:c>
      <x:c r="B97" s="64" t="str">
        <x:v>forensic_involvement_details</x:v>
      </x:c>
      <x:c r="C97" s="64" t="str">
        <x:v>Forensic involvement details</x:v>
      </x:c>
      <x:c r="D97" s="64" t="str">
        <x:v>legal_conservatorship</x:v>
      </x:c>
      <x:c r="E97" s="64" t="str">
        <x:v>string</x:v>
      </x:c>
      <x:c r="F97" s="65" t="b">
        <x:v>0</x:v>
      </x:c>
      <x:c r="G97" s="64" t="str">
        <x:v>Legal</x:v>
      </x:c>
      <x:c r="H97" s="64" t="str">
        <x:v>C13</x:v>
      </x:c>
      <x:c r="I97" s="64" t="str">
        <x:f>IF('Legal'!C13="","",'Legal'!C13)</x:f>
      </x:c>
      <x:c r="J97" s="64" t="n">
        <x:f>IF(LEN(I97)&gt;0,1,0)</x:f>
        <x:v>0</x:v>
      </x:c>
      <x:c r="K97" s="64" t="n">
        <x:f>IF(AND(F97=TRUE,LEN(I97)&gt;0),1,0)</x:f>
        <x:v>0</x:v>
      </x:c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4" t="str">
        <x:v>PIPELINE_ASSESSMENT_WORKBOOK_V1</x:v>
      </x:c>
      <x:c r="B98" s="64" t="str">
        <x:v>arrest_history</x:v>
      </x:c>
      <x:c r="C98" s="64" t="str">
        <x:v>History of arrest</x:v>
      </x:c>
      <x:c r="D98" s="64" t="str">
        <x:v>legal_conservatorship</x:v>
      </x:c>
      <x:c r="E98" s="64" t="str">
        <x:v>string</x:v>
      </x:c>
      <x:c r="F98" s="65" t="b">
        <x:v>1</x:v>
      </x:c>
      <x:c r="G98" s="64" t="str">
        <x:v>Legal</x:v>
      </x:c>
      <x:c r="H98" s="64" t="str">
        <x:v>C14</x:v>
      </x:c>
      <x:c r="I98" s="64" t="str">
        <x:f>IF('Legal'!C14="","",'Legal'!C14)</x:f>
      </x:c>
      <x:c r="J98" s="64" t="n">
        <x:f>IF(LEN(I98)&gt;0,1,0)</x:f>
        <x:v>0</x:v>
      </x:c>
      <x:c r="K98" s="64" t="n">
        <x:f>IF(AND(F98=TRUE,LEN(I98)&gt;0),1,0)</x:f>
        <x:v>0</x:v>
      </x:c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4" t="str">
        <x:v>PIPELINE_ASSESSMENT_WORKBOOK_V1</x:v>
      </x:c>
      <x:c r="B99" s="64" t="str">
        <x:v>most_recent_arrest_date</x:v>
      </x:c>
      <x:c r="C99" s="64" t="str">
        <x:v>Most recent arrest date</x:v>
      </x:c>
      <x:c r="D99" s="64" t="str">
        <x:v>legal_conservatorship</x:v>
      </x:c>
      <x:c r="E99" s="64" t="str">
        <x:v>date</x:v>
      </x:c>
      <x:c r="F99" s="65" t="b">
        <x:v>0</x:v>
      </x:c>
      <x:c r="G99" s="64" t="str">
        <x:v>Legal</x:v>
      </x:c>
      <x:c r="H99" s="64" t="str">
        <x:v>C15</x:v>
      </x:c>
      <x:c r="I99" s="64" t="str">
        <x:f>IF('Legal'!C15="","",'Legal'!C15)</x:f>
      </x:c>
      <x:c r="J99" s="64" t="n">
        <x:f>IF(LEN(I99)&gt;0,1,0)</x:f>
        <x:v>0</x:v>
      </x:c>
      <x:c r="K99" s="64" t="n">
        <x:f>IF(AND(F99=TRUE,LEN(I99)&gt;0),1,0)</x:f>
        <x:v>0</x:v>
      </x:c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4" t="str">
        <x:v>PIPELINE_ASSESSMENT_WORKBOOK_V1</x:v>
      </x:c>
      <x:c r="B100" s="64" t="str">
        <x:v>most_recent_arrest_charge</x:v>
      </x:c>
      <x:c r="C100" s="64" t="str">
        <x:v>Most recent arrest charge</x:v>
      </x:c>
      <x:c r="D100" s="64" t="str">
        <x:v>legal_conservatorship</x:v>
      </x:c>
      <x:c r="E100" s="64" t="str">
        <x:v>string</x:v>
      </x:c>
      <x:c r="F100" s="65" t="b">
        <x:v>0</x:v>
      </x:c>
      <x:c r="G100" s="64" t="str">
        <x:v>Legal</x:v>
      </x:c>
      <x:c r="H100" s="64" t="str">
        <x:v>C16</x:v>
      </x:c>
      <x:c r="I100" s="64" t="str">
        <x:f>IF('Legal'!C16="","",'Legal'!C16)</x:f>
      </x:c>
      <x:c r="J100" s="64" t="n">
        <x:f>IF(LEN(I100)&gt;0,1,0)</x:f>
        <x:v>0</x:v>
      </x:c>
      <x:c r="K100" s="64" t="n">
        <x:f>IF(AND(F100=TRUE,LEN(I100)&gt;0),1,0)</x:f>
        <x:v>0</x:v>
      </x:c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4" t="str">
        <x:v>PIPELINE_ASSESSMENT_WORKBOOK_V1</x:v>
      </x:c>
      <x:c r="B101" s="64" t="str">
        <x:v>most_recent_arrest_jail_time</x:v>
      </x:c>
      <x:c r="C101" s="64" t="str">
        <x:v>Time in jail</x:v>
      </x:c>
      <x:c r="D101" s="64" t="str">
        <x:v>legal_conservatorship</x:v>
      </x:c>
      <x:c r="E101" s="64" t="str">
        <x:v>string</x:v>
      </x:c>
      <x:c r="F101" s="65" t="b">
        <x:v>0</x:v>
      </x:c>
      <x:c r="G101" s="64" t="str">
        <x:v>Legal</x:v>
      </x:c>
      <x:c r="H101" s="64" t="str">
        <x:v>C17</x:v>
      </x:c>
      <x:c r="I101" s="64" t="str">
        <x:f>IF('Legal'!C17="","",'Legal'!C17)</x:f>
      </x:c>
      <x:c r="J101" s="64" t="n">
        <x:f>IF(LEN(I101)&gt;0,1,0)</x:f>
        <x:v>0</x:v>
      </x:c>
      <x:c r="K101" s="64" t="n">
        <x:f>IF(AND(F101=TRUE,LEN(I101)&gt;0),1,0)</x:f>
        <x:v>0</x:v>
      </x:c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4" t="str">
        <x:v>PIPELINE_ASSESSMENT_WORKBOOK_V1</x:v>
      </x:c>
      <x:c r="B102" s="64" t="str">
        <x:v>arrest_in_last_two_years</x:v>
      </x:c>
      <x:c r="C102" s="64" t="str">
        <x:v>Arrest in the last two years</x:v>
      </x:c>
      <x:c r="D102" s="64" t="str">
        <x:v>legal_conservatorship</x:v>
      </x:c>
      <x:c r="E102" s="64" t="str">
        <x:v>string</x:v>
      </x:c>
      <x:c r="F102" s="65" t="b">
        <x:v>0</x:v>
      </x:c>
      <x:c r="G102" s="64" t="str">
        <x:v>Legal</x:v>
      </x:c>
      <x:c r="H102" s="64" t="str">
        <x:v>C18</x:v>
      </x:c>
      <x:c r="I102" s="64" t="str">
        <x:f>IF('Legal'!C18="","",'Legal'!C18)</x:f>
      </x:c>
      <x:c r="J102" s="64" t="n">
        <x:f>IF(LEN(I102)&gt;0,1,0)</x:f>
        <x:v>0</x:v>
      </x:c>
      <x:c r="K102" s="64" t="n">
        <x:f>IF(AND(F102=TRUE,LEN(I102)&gt;0),1,0)</x:f>
        <x:v>0</x:v>
      </x:c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4" t="str">
        <x:v>PIPELINE_ASSESSMENT_WORKBOOK_V1</x:v>
      </x:c>
      <x:c r="B103" s="64" t="str">
        <x:v>arrest_last_two_years_details</x:v>
      </x:c>
      <x:c r="C103" s="64" t="str">
        <x:v>Recent arrest details</x:v>
      </x:c>
      <x:c r="D103" s="64" t="str">
        <x:v>legal_conservatorship</x:v>
      </x:c>
      <x:c r="E103" s="64" t="str">
        <x:v>string</x:v>
      </x:c>
      <x:c r="F103" s="65" t="b">
        <x:v>0</x:v>
      </x:c>
      <x:c r="G103" s="64" t="str">
        <x:v>Legal</x:v>
      </x:c>
      <x:c r="H103" s="64" t="str">
        <x:v>C19</x:v>
      </x:c>
      <x:c r="I103" s="64" t="str">
        <x:f>IF('Legal'!C19="","",'Legal'!C19)</x:f>
      </x:c>
      <x:c r="J103" s="64" t="n">
        <x:f>IF(LEN(I103)&gt;0,1,0)</x:f>
        <x:v>0</x:v>
      </x:c>
      <x:c r="K103" s="64" t="n">
        <x:f>IF(AND(F103=TRUE,LEN(I103)&gt;0),1,0)</x:f>
        <x:v>0</x:v>
      </x:c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4" t="str">
        <x:v>PIPELINE_ASSESSMENT_WORKBOOK_V1</x:v>
      </x:c>
      <x:c r="B104" s="64" t="str">
        <x:v>total_arrests</x:v>
      </x:c>
      <x:c r="C104" s="64" t="str">
        <x:v>Total recorded arrests</x:v>
      </x:c>
      <x:c r="D104" s="64" t="str">
        <x:v>legal_conservatorship</x:v>
      </x:c>
      <x:c r="E104" s="64" t="str">
        <x:v>integer</x:v>
      </x:c>
      <x:c r="F104" s="65" t="b">
        <x:v>0</x:v>
      </x:c>
      <x:c r="G104" s="64" t="str">
        <x:v>Legal</x:v>
      </x:c>
      <x:c r="H104" s="64" t="str">
        <x:v>C20</x:v>
      </x:c>
      <x:c r="I104" s="64" t="str">
        <x:f>IF('Legal'!C20="","",'Legal'!C20)</x:f>
      </x:c>
      <x:c r="J104" s="64" t="n">
        <x:f>IF(LEN(I104)&gt;0,1,0)</x:f>
        <x:v>0</x:v>
      </x:c>
      <x:c r="K104" s="64" t="n">
        <x:f>IF(AND(F104=TRUE,LEN(I104)&gt;0),1,0)</x:f>
        <x:v>0</x:v>
      </x:c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4" t="str">
        <x:v>PIPELINE_ASSESSMENT_WORKBOOK_V1</x:v>
      </x:c>
      <x:c r="B105" s="64" t="str">
        <x:v>pc290_registration</x:v>
      </x:c>
      <x:c r="C105" s="64" t="str">
        <x:v>PC 290 registration</x:v>
      </x:c>
      <x:c r="D105" s="64" t="str">
        <x:v>legal_conservatorship</x:v>
      </x:c>
      <x:c r="E105" s="64" t="str">
        <x:v>string</x:v>
      </x:c>
      <x:c r="F105" s="65" t="b">
        <x:v>1</x:v>
      </x:c>
      <x:c r="G105" s="64" t="str">
        <x:v>Legal</x:v>
      </x:c>
      <x:c r="H105" s="64" t="str">
        <x:v>C21</x:v>
      </x:c>
      <x:c r="I105" s="64" t="str">
        <x:f>IF('Legal'!C21="","",'Legal'!C21)</x:f>
      </x:c>
      <x:c r="J105" s="64" t="n">
        <x:f>IF(LEN(I105)&gt;0,1,0)</x:f>
        <x:v>0</x:v>
      </x:c>
      <x:c r="K105" s="64" t="n">
        <x:f>IF(AND(F105=TRUE,LEN(I105)&gt;0),1,0)</x:f>
        <x:v>0</x:v>
      </x:c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4" t="str">
        <x:v>PIPELINE_ASSESSMENT_WORKBOOK_V1</x:v>
      </x:c>
      <x:c r="B106" s="64" t="str">
        <x:v>arson_history</x:v>
      </x:c>
      <x:c r="C106" s="64" t="str">
        <x:v>Arson history</x:v>
      </x:c>
      <x:c r="D106" s="64" t="str">
        <x:v>legal_conservatorship</x:v>
      </x:c>
      <x:c r="E106" s="64" t="str">
        <x:v>string</x:v>
      </x:c>
      <x:c r="F106" s="65" t="b">
        <x:v>1</x:v>
      </x:c>
      <x:c r="G106" s="64" t="str">
        <x:v>Legal</x:v>
      </x:c>
      <x:c r="H106" s="64" t="str">
        <x:v>C22</x:v>
      </x:c>
      <x:c r="I106" s="64" t="str">
        <x:f>IF('Legal'!C22="","",'Legal'!C22)</x:f>
      </x:c>
      <x:c r="J106" s="64" t="n">
        <x:f>IF(LEN(I106)&gt;0,1,0)</x:f>
        <x:v>0</x:v>
      </x:c>
      <x:c r="K106" s="64" t="n">
        <x:f>IF(AND(F106=TRUE,LEN(I106)&gt;0),1,0)</x:f>
        <x:v>0</x:v>
      </x:c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4" t="str">
        <x:v>PIPELINE_ASSESSMENT_WORKBOOK_V1</x:v>
      </x:c>
      <x:c r="B107" s="64" t="str">
        <x:v>diversion_client</x:v>
      </x:c>
      <x:c r="C107" s="64" t="str">
        <x:v>Diversion client</x:v>
      </x:c>
      <x:c r="D107" s="64" t="str">
        <x:v>legal_conservatorship</x:v>
      </x:c>
      <x:c r="E107" s="64" t="str">
        <x:v>string</x:v>
      </x:c>
      <x:c r="F107" s="65" t="b">
        <x:v>1</x:v>
      </x:c>
      <x:c r="G107" s="64" t="str">
        <x:v>Legal</x:v>
      </x:c>
      <x:c r="H107" s="64" t="str">
        <x:v>C23</x:v>
      </x:c>
      <x:c r="I107" s="64" t="str">
        <x:f>IF('Legal'!C23="","",'Legal'!C23)</x:f>
      </x:c>
      <x:c r="J107" s="64" t="n">
        <x:f>IF(LEN(I107)&gt;0,1,0)</x:f>
        <x:v>0</x:v>
      </x:c>
      <x:c r="K107" s="64" t="n">
        <x:f>IF(AND(F107=TRUE,LEN(I107)&gt;0),1,0)</x:f>
        <x:v>0</x:v>
      </x:c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4" t="str">
        <x:v>PIPELINE_ASSESSMENT_WORKBOOK_V1</x:v>
      </x:c>
      <x:c r="B108" s="64" t="str">
        <x:v>court_requirements</x:v>
      </x:c>
      <x:c r="C108" s="64" t="str">
        <x:v>Court requirements</x:v>
      </x:c>
      <x:c r="D108" s="64" t="str">
        <x:v>legal_conservatorship</x:v>
      </x:c>
      <x:c r="E108" s="64" t="str">
        <x:v>string</x:v>
      </x:c>
      <x:c r="F108" s="65" t="b">
        <x:v>0</x:v>
      </x:c>
      <x:c r="G108" s="64" t="str">
        <x:v>Legal</x:v>
      </x:c>
      <x:c r="H108" s="64" t="str">
        <x:v>C24</x:v>
      </x:c>
      <x:c r="I108" s="64" t="str">
        <x:f>IF('Legal'!C24="","",'Legal'!C24)</x:f>
      </x:c>
      <x:c r="J108" s="64" t="n">
        <x:f>IF(LEN(I108)&gt;0,1,0)</x:f>
        <x:v>0</x:v>
      </x:c>
      <x:c r="K108" s="64" t="n">
        <x:f>IF(AND(F108=TRUE,LEN(I108)&gt;0),1,0)</x:f>
        <x:v>0</x:v>
      </x:c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4" t="str">
        <x:v>PIPELINE_ASSESSMENT_WORKBOOK_V1</x:v>
      </x:c>
      <x:c r="B109" s="64" t="str">
        <x:v>medications_at_intake</x:v>
      </x:c>
      <x:c r="C109" s="64" t="str">
        <x:v>Medications at intake</x:v>
      </x:c>
      <x:c r="D109" s="64" t="str">
        <x:v>medication</x:v>
      </x:c>
      <x:c r="E109" s="64" t="str">
        <x:v>string_list</x:v>
      </x:c>
      <x:c r="F109" s="65" t="b">
        <x:v>0</x:v>
      </x:c>
      <x:c r="G109" s="64" t="str">
        <x:v>Medication</x:v>
      </x:c>
      <x:c r="H109" s="64" t="str">
        <x:v>C6</x:v>
      </x:c>
      <x:c r="I109" s="64" t="str">
        <x:f>IF('Medication'!C6="","",'Medication'!C6)</x:f>
      </x:c>
      <x:c r="J109" s="64" t="n">
        <x:f>IF(LEN(I109)&gt;0,1,0)</x:f>
        <x:v>0</x:v>
      </x:c>
      <x:c r="K109" s="64" t="n">
        <x:f>IF(AND(F109=TRUE,LEN(I109)&gt;0),1,0)</x:f>
        <x:v>0</x:v>
      </x:c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4" t="str">
        <x:v>PIPELINE_ASSESSMENT_WORKBOOK_V1</x:v>
      </x:c>
      <x:c r="B110" s="64" t="str">
        <x:v>medication_adherence</x:v>
      </x:c>
      <x:c r="C110" s="64" t="str">
        <x:v>Medication compliant</x:v>
      </x:c>
      <x:c r="D110" s="64" t="str">
        <x:v>medication</x:v>
      </x:c>
      <x:c r="E110" s="64" t="str">
        <x:v>string</x:v>
      </x:c>
      <x:c r="F110" s="65" t="b">
        <x:v>1</x:v>
      </x:c>
      <x:c r="G110" s="64" t="str">
        <x:v>Medication</x:v>
      </x:c>
      <x:c r="H110" s="64" t="str">
        <x:v>C7</x:v>
      </x:c>
      <x:c r="I110" s="64" t="str">
        <x:f>IF('Medication'!C7="","",'Medication'!C7)</x:f>
      </x:c>
      <x:c r="J110" s="64" t="n">
        <x:f>IF(LEN(I110)&gt;0,1,0)</x:f>
        <x:v>0</x:v>
      </x:c>
      <x:c r="K110" s="64" t="n">
        <x:f>IF(AND(F110=TRUE,LEN(I110)&gt;0),1,0)</x:f>
        <x:v>0</x:v>
      </x:c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4" t="str">
        <x:v>PIPELINE_ASSESSMENT_WORKBOOK_V1</x:v>
      </x:c>
      <x:c r="B111" s="64" t="str">
        <x:v>lai_vs_oral</x:v>
      </x:c>
      <x:c r="C111" s="64" t="str">
        <x:v>LAI vs oral</x:v>
      </x:c>
      <x:c r="D111" s="64" t="str">
        <x:v>medication</x:v>
      </x:c>
      <x:c r="E111" s="64" t="str">
        <x:v>string</x:v>
      </x:c>
      <x:c r="F111" s="65" t="b">
        <x:v>0</x:v>
      </x:c>
      <x:c r="G111" s="64" t="str">
        <x:v>Medication</x:v>
      </x:c>
      <x:c r="H111" s="64" t="str">
        <x:v>C8</x:v>
      </x:c>
      <x:c r="I111" s="64" t="str">
        <x:f>IF('Medication'!C8="","",'Medication'!C8)</x:f>
      </x:c>
      <x:c r="J111" s="64" t="n">
        <x:f>IF(LEN(I111)&gt;0,1,0)</x:f>
        <x:v>0</x:v>
      </x:c>
      <x:c r="K111" s="64" t="n">
        <x:f>IF(AND(F111=TRUE,LEN(I111)&gt;0),1,0)</x:f>
        <x:v>0</x:v>
      </x:c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4" t="str">
        <x:v>PIPELINE_ASSESSMENT_WORKBOOK_V1</x:v>
      </x:c>
      <x:c r="B112" s="64" t="str">
        <x:v>prn_patterns</x:v>
      </x:c>
      <x:c r="C112" s="64" t="str">
        <x:v>PRN patterns</x:v>
      </x:c>
      <x:c r="D112" s="64" t="str">
        <x:v>medication</x:v>
      </x:c>
      <x:c r="E112" s="64" t="str">
        <x:v>string</x:v>
      </x:c>
      <x:c r="F112" s="65" t="b">
        <x:v>0</x:v>
      </x:c>
      <x:c r="G112" s="64" t="str">
        <x:v>Medication</x:v>
      </x:c>
      <x:c r="H112" s="64" t="str">
        <x:v>C9</x:v>
      </x:c>
      <x:c r="I112" s="64" t="str">
        <x:f>IF('Medication'!C9="","",'Medication'!C9)</x:f>
      </x:c>
      <x:c r="J112" s="64" t="n">
        <x:f>IF(LEN(I112)&gt;0,1,0)</x:f>
        <x:v>0</x:v>
      </x:c>
      <x:c r="K112" s="64" t="n">
        <x:f>IF(AND(F112=TRUE,LEN(I112)&gt;0),1,0)</x:f>
        <x:v>0</x:v>
      </x:c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4" t="str">
        <x:v>PIPELINE_ASSESSMENT_WORKBOOK_V1</x:v>
      </x:c>
      <x:c r="B113" s="64" t="str">
        <x:v>last_medication_refusal_date</x:v>
      </x:c>
      <x:c r="C113" s="64" t="str">
        <x:v>Date of last medication refusal</x:v>
      </x:c>
      <x:c r="D113" s="64" t="str">
        <x:v>medication</x:v>
      </x:c>
      <x:c r="E113" s="64" t="str">
        <x:v>date</x:v>
      </x:c>
      <x:c r="F113" s="65" t="b">
        <x:v>0</x:v>
      </x:c>
      <x:c r="G113" s="64" t="str">
        <x:v>Medication</x:v>
      </x:c>
      <x:c r="H113" s="64" t="str">
        <x:v>C10</x:v>
      </x:c>
      <x:c r="I113" s="64" t="str">
        <x:f>IF('Medication'!C10="","",'Medication'!C10)</x:f>
      </x:c>
      <x:c r="J113" s="64" t="n">
        <x:f>IF(LEN(I113)&gt;0,1,0)</x:f>
        <x:v>0</x:v>
      </x:c>
      <x:c r="K113" s="64" t="n">
        <x:f>IF(AND(F113=TRUE,LEN(I113)&gt;0),1,0)</x:f>
        <x:v>0</x:v>
      </x:c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4" t="str">
        <x:v>PIPELINE_ASSESSMENT_WORKBOOK_V1</x:v>
      </x:c>
      <x:c r="B114" s="64" t="str">
        <x:v>medication_refused</x:v>
      </x:c>
      <x:c r="C114" s="64" t="str">
        <x:v>Medication refused</x:v>
      </x:c>
      <x:c r="D114" s="64" t="str">
        <x:v>medication</x:v>
      </x:c>
      <x:c r="E114" s="64" t="str">
        <x:v>string</x:v>
      </x:c>
      <x:c r="F114" s="65" t="b">
        <x:v>0</x:v>
      </x:c>
      <x:c r="G114" s="64" t="str">
        <x:v>Medication</x:v>
      </x:c>
      <x:c r="H114" s="64" t="str">
        <x:v>C11</x:v>
      </x:c>
      <x:c r="I114" s="64" t="str">
        <x:f>IF('Medication'!C11="","",'Medication'!C11)</x:f>
      </x:c>
      <x:c r="J114" s="64" t="n">
        <x:f>IF(LEN(I114)&gt;0,1,0)</x:f>
        <x:v>0</x:v>
      </x:c>
      <x:c r="K114" s="64" t="n">
        <x:f>IF(AND(F114=TRUE,LEN(I114)&gt;0),1,0)</x:f>
        <x:v>0</x:v>
      </x:c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4" t="str">
        <x:v>PIPELINE_ASSESSMENT_WORKBOOK_V1</x:v>
      </x:c>
      <x:c r="B115" s="64" t="str">
        <x:v>medication_refusals_30_days</x:v>
      </x:c>
      <x:c r="C115" s="64" t="str">
        <x:v>Refusals in the last 30 days</x:v>
      </x:c>
      <x:c r="D115" s="64" t="str">
        <x:v>medication</x:v>
      </x:c>
      <x:c r="E115" s="64" t="str">
        <x:v>integer</x:v>
      </x:c>
      <x:c r="F115" s="65" t="b">
        <x:v>0</x:v>
      </x:c>
      <x:c r="G115" s="64" t="str">
        <x:v>Medication</x:v>
      </x:c>
      <x:c r="H115" s="64" t="str">
        <x:v>C12</x:v>
      </x:c>
      <x:c r="I115" s="64" t="str">
        <x:f>IF('Medication'!C12="","",'Medication'!C12)</x:f>
      </x:c>
      <x:c r="J115" s="64" t="n">
        <x:f>IF(LEN(I115)&gt;0,1,0)</x:f>
        <x:v>0</x:v>
      </x:c>
      <x:c r="K115" s="64" t="n">
        <x:f>IF(AND(F115=TRUE,LEN(I115)&gt;0),1,0)</x:f>
        <x:v>0</x:v>
      </x:c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4" t="str">
        <x:v>PIPELINE_ASSESSMENT_WORKBOOK_V1</x:v>
      </x:c>
      <x:c r="B116" s="64" t="str">
        <x:v>im_injections</x:v>
      </x:c>
      <x:c r="C116" s="64" t="str">
        <x:v>IM injections</x:v>
      </x:c>
      <x:c r="D116" s="64" t="str">
        <x:v>medication</x:v>
      </x:c>
      <x:c r="E116" s="64" t="str">
        <x:v>string</x:v>
      </x:c>
      <x:c r="F116" s="65" t="b">
        <x:v>1</x:v>
      </x:c>
      <x:c r="G116" s="64" t="str">
        <x:v>Medication</x:v>
      </x:c>
      <x:c r="H116" s="64" t="str">
        <x:v>C13</x:v>
      </x:c>
      <x:c r="I116" s="64" t="str">
        <x:f>IF('Medication'!C13="","",'Medication'!C13)</x:f>
      </x:c>
      <x:c r="J116" s="64" t="n">
        <x:f>IF(LEN(I116)&gt;0,1,0)</x:f>
        <x:v>0</x:v>
      </x:c>
      <x:c r="K116" s="64" t="n">
        <x:f>IF(AND(F116=TRUE,LEN(I116)&gt;0),1,0)</x:f>
        <x:v>0</x:v>
      </x:c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4" t="str">
        <x:v>PIPELINE_ASSESSMENT_WORKBOOK_V1</x:v>
      </x:c>
      <x:c r="B117" s="64" t="str">
        <x:v>substances</x:v>
      </x:c>
      <x:c r="C117" s="64" t="str">
        <x:v>Substances</x:v>
      </x:c>
      <x:c r="D117" s="64" t="str">
        <x:v>substance_use</x:v>
      </x:c>
      <x:c r="E117" s="64" t="str">
        <x:v>string_list</x:v>
      </x:c>
      <x:c r="F117" s="65" t="b">
        <x:v>0</x:v>
      </x:c>
      <x:c r="G117" s="64" t="str">
        <x:v>Substance Use</x:v>
      </x:c>
      <x:c r="H117" s="64" t="str">
        <x:v>C6</x:v>
      </x:c>
      <x:c r="I117" s="64" t="str">
        <x:f>IF('Substance Use'!C6="","",'Substance Use'!C6)</x:f>
      </x:c>
      <x:c r="J117" s="64" t="n">
        <x:f>IF(LEN(I117)&gt;0,1,0)</x:f>
        <x:v>0</x:v>
      </x:c>
      <x:c r="K117" s="64" t="n">
        <x:f>IF(AND(F117=TRUE,LEN(I117)&gt;0),1,0)</x:f>
        <x:v>0</x:v>
      </x:c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4" t="str">
        <x:v>PIPELINE_ASSESSMENT_WORKBOOK_V1</x:v>
      </x:c>
      <x:c r="B118" s="64" t="str">
        <x:v>use_pattern</x:v>
      </x:c>
      <x:c r="C118" s="64" t="str">
        <x:v>Use pattern</x:v>
      </x:c>
      <x:c r="D118" s="64" t="str">
        <x:v>substance_use</x:v>
      </x:c>
      <x:c r="E118" s="64" t="str">
        <x:v>string</x:v>
      </x:c>
      <x:c r="F118" s="65" t="b">
        <x:v>0</x:v>
      </x:c>
      <x:c r="G118" s="64" t="str">
        <x:v>Substance Use</x:v>
      </x:c>
      <x:c r="H118" s="64" t="str">
        <x:v>C7</x:v>
      </x:c>
      <x:c r="I118" s="64" t="str">
        <x:f>IF('Substance Use'!C7="","",'Substance Use'!C7)</x:f>
      </x:c>
      <x:c r="J118" s="64" t="n">
        <x:f>IF(LEN(I118)&gt;0,1,0)</x:f>
        <x:v>0</x:v>
      </x:c>
      <x:c r="K118" s="64" t="n">
        <x:f>IF(AND(F118=TRUE,LEN(I118)&gt;0),1,0)</x:f>
        <x:v>0</x:v>
      </x:c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4" t="str">
        <x:v>PIPELINE_ASSESSMENT_WORKBOOK_V1</x:v>
      </x:c>
      <x:c r="B119" s="64" t="str">
        <x:v>treatment_history</x:v>
      </x:c>
      <x:c r="C119" s="64" t="str">
        <x:v>Treatment history</x:v>
      </x:c>
      <x:c r="D119" s="64" t="str">
        <x:v>substance_use</x:v>
      </x:c>
      <x:c r="E119" s="64" t="str">
        <x:v>string</x:v>
      </x:c>
      <x:c r="F119" s="65" t="b">
        <x:v>0</x:v>
      </x:c>
      <x:c r="G119" s="64" t="str">
        <x:v>Substance Use</x:v>
      </x:c>
      <x:c r="H119" s="64" t="str">
        <x:v>C8</x:v>
      </x:c>
      <x:c r="I119" s="64" t="str">
        <x:f>IF('Substance Use'!C8="","",'Substance Use'!C8)</x:f>
      </x:c>
      <x:c r="J119" s="64" t="n">
        <x:f>IF(LEN(I119)&gt;0,1,0)</x:f>
        <x:v>0</x:v>
      </x:c>
      <x:c r="K119" s="64" t="n">
        <x:f>IF(AND(F119=TRUE,LEN(I119)&gt;0),1,0)</x:f>
        <x:v>0</x:v>
      </x:c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4" t="str">
        <x:v>PIPELINE_ASSESSMENT_WORKBOOK_V1</x:v>
      </x:c>
      <x:c r="B120" s="64" t="str">
        <x:v>substance_abuse_history</x:v>
      </x:c>
      <x:c r="C120" s="64" t="str">
        <x:v>History of substance abuse</x:v>
      </x:c>
      <x:c r="D120" s="64" t="str">
        <x:v>substance_use</x:v>
      </x:c>
      <x:c r="E120" s="64" t="str">
        <x:v>string</x:v>
      </x:c>
      <x:c r="F120" s="65" t="b">
        <x:v>1</x:v>
      </x:c>
      <x:c r="G120" s="64" t="str">
        <x:v>Substance Use</x:v>
      </x:c>
      <x:c r="H120" s="64" t="str">
        <x:v>C9</x:v>
      </x:c>
      <x:c r="I120" s="64" t="str">
        <x:f>IF('Substance Use'!C9="","",'Substance Use'!C9)</x:f>
      </x:c>
      <x:c r="J120" s="64" t="n">
        <x:f>IF(LEN(I120)&gt;0,1,0)</x:f>
        <x:v>0</x:v>
      </x:c>
      <x:c r="K120" s="64" t="n">
        <x:f>IF(AND(F120=TRUE,LEN(I120)&gt;0),1,0)</x:f>
        <x:v>0</x:v>
      </x:c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4" t="str">
        <x:v>PIPELINE_ASSESSMENT_WORKBOOK_V1</x:v>
      </x:c>
      <x:c r="B121" s="64" t="str">
        <x:v>active_substance_use</x:v>
      </x:c>
      <x:c r="C121" s="64" t="str">
        <x:v>Active substance use</x:v>
      </x:c>
      <x:c r="D121" s="64" t="str">
        <x:v>substance_use</x:v>
      </x:c>
      <x:c r="E121" s="64" t="str">
        <x:v>string</x:v>
      </x:c>
      <x:c r="F121" s="65" t="b">
        <x:v>1</x:v>
      </x:c>
      <x:c r="G121" s="64" t="str">
        <x:v>Substance Use</x:v>
      </x:c>
      <x:c r="H121" s="64" t="str">
        <x:v>C10</x:v>
      </x:c>
      <x:c r="I121" s="64" t="str">
        <x:f>IF('Substance Use'!C10="","",'Substance Use'!C10)</x:f>
      </x:c>
      <x:c r="J121" s="64" t="n">
        <x:f>IF(LEN(I121)&gt;0,1,0)</x:f>
        <x:v>0</x:v>
      </x:c>
      <x:c r="K121" s="64" t="n">
        <x:f>IF(AND(F121=TRUE,LEN(I121)&gt;0),1,0)</x:f>
        <x:v>0</x:v>
      </x:c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4" t="str">
        <x:v>PIPELINE_ASSESSMENT_WORKBOOK_V1</x:v>
      </x:c>
      <x:c r="B122" s="64" t="str">
        <x:v>last_substance_use_date</x:v>
      </x:c>
      <x:c r="C122" s="64" t="str">
        <x:v>Last substance use</x:v>
      </x:c>
      <x:c r="D122" s="64" t="str">
        <x:v>substance_use</x:v>
      </x:c>
      <x:c r="E122" s="64" t="str">
        <x:v>date</x:v>
      </x:c>
      <x:c r="F122" s="65" t="b">
        <x:v>0</x:v>
      </x:c>
      <x:c r="G122" s="64" t="str">
        <x:v>Substance Use</x:v>
      </x:c>
      <x:c r="H122" s="64" t="str">
        <x:v>C11</x:v>
      </x:c>
      <x:c r="I122" s="64" t="str">
        <x:f>IF('Substance Use'!C11="","",'Substance Use'!C11)</x:f>
      </x:c>
      <x:c r="J122" s="64" t="n">
        <x:f>IF(LEN(I122)&gt;0,1,0)</x:f>
        <x:v>0</x:v>
      </x:c>
      <x:c r="K122" s="64" t="n">
        <x:f>IF(AND(F122=TRUE,LEN(I122)&gt;0),1,0)</x:f>
        <x:v>0</x:v>
      </x:c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4" t="str">
        <x:v>PIPELINE_ASSESSMENT_WORKBOOK_V1</x:v>
      </x:c>
      <x:c r="B123" s="64" t="str">
        <x:v>substance_effect_on_baseline</x:v>
      </x:c>
      <x:c r="C123" s="64" t="str">
        <x:v>Effect on baseline behavior</x:v>
      </x:c>
      <x:c r="D123" s="64" t="str">
        <x:v>substance_use</x:v>
      </x:c>
      <x:c r="E123" s="64" t="str">
        <x:v>string</x:v>
      </x:c>
      <x:c r="F123" s="65" t="b">
        <x:v>0</x:v>
      </x:c>
      <x:c r="G123" s="64" t="str">
        <x:v>Substance Use</x:v>
      </x:c>
      <x:c r="H123" s="64" t="str">
        <x:v>C12</x:v>
      </x:c>
      <x:c r="I123" s="64" t="str">
        <x:f>IF('Substance Use'!C12="","",'Substance Use'!C12)</x:f>
      </x:c>
      <x:c r="J123" s="64" t="n">
        <x:f>IF(LEN(I123)&gt;0,1,0)</x:f>
        <x:v>0</x:v>
      </x:c>
      <x:c r="K123" s="64" t="n">
        <x:f>IF(AND(F123=TRUE,LEN(I123)&gt;0),1,0)</x:f>
        <x:v>0</x:v>
      </x:c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4" t="str">
        <x:v>PIPELINE_ASSESSMENT_WORKBOOK_V1</x:v>
      </x:c>
      <x:c r="B124" s="64" t="str">
        <x:v>longest_sobriety_months</x:v>
      </x:c>
      <x:c r="C124" s="64" t="str">
        <x:v>Longest sobriety in the last five years</x:v>
      </x:c>
      <x:c r="D124" s="64" t="str">
        <x:v>substance_use</x:v>
      </x:c>
      <x:c r="E124" s="64" t="str">
        <x:v>integer</x:v>
      </x:c>
      <x:c r="F124" s="65" t="b">
        <x:v>0</x:v>
      </x:c>
      <x:c r="G124" s="64" t="str">
        <x:v>Substance Use</x:v>
      </x:c>
      <x:c r="H124" s="64" t="str">
        <x:v>C13</x:v>
      </x:c>
      <x:c r="I124" s="64" t="str">
        <x:f>IF('Substance Use'!C13="","",'Substance Use'!C13)</x:f>
      </x:c>
      <x:c r="J124" s="64" t="n">
        <x:f>IF(LEN(I124)&gt;0,1,0)</x:f>
        <x:v>0</x:v>
      </x:c>
      <x:c r="K124" s="64" t="n">
        <x:f>IF(AND(F124=TRUE,LEN(I124)&gt;0),1,0)</x:f>
        <x:v>0</x:v>
      </x:c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4" t="str">
        <x:v>PIPELINE_ASSESSMENT_WORKBOOK_V1</x:v>
      </x:c>
      <x:c r="B125" s="64" t="str">
        <x:v>substance_use_insight</x:v>
      </x:c>
      <x:c r="C125" s="64" t="str">
        <x:v>Insight into substance use</x:v>
      </x:c>
      <x:c r="D125" s="64" t="str">
        <x:v>substance_use</x:v>
      </x:c>
      <x:c r="E125" s="64" t="str">
        <x:v>string</x:v>
      </x:c>
      <x:c r="F125" s="65" t="b">
        <x:v>0</x:v>
      </x:c>
      <x:c r="G125" s="64" t="str">
        <x:v>Substance Use</x:v>
      </x:c>
      <x:c r="H125" s="64" t="str">
        <x:v>C14</x:v>
      </x:c>
      <x:c r="I125" s="64" t="str">
        <x:f>IF('Substance Use'!C14="","",'Substance Use'!C14)</x:f>
      </x:c>
      <x:c r="J125" s="64" t="n">
        <x:f>IF(LEN(I125)&gt;0,1,0)</x:f>
        <x:v>0</x:v>
      </x:c>
      <x:c r="K125" s="64" t="n">
        <x:f>IF(AND(F125=TRUE,LEN(I125)&gt;0),1,0)</x:f>
        <x:v>0</x:v>
      </x:c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4" t="str">
        <x:v>PIPELINE_ASSESSMENT_WORKBOOK_V1</x:v>
      </x:c>
      <x:c r="B126" s="64" t="str">
        <x:v>substance_use_insight_details</x:v>
      </x:c>
      <x:c r="C126" s="64" t="str">
        <x:v>Substance-use insight details</x:v>
      </x:c>
      <x:c r="D126" s="64" t="str">
        <x:v>substance_use</x:v>
      </x:c>
      <x:c r="E126" s="64" t="str">
        <x:v>string</x:v>
      </x:c>
      <x:c r="F126" s="65" t="b">
        <x:v>0</x:v>
      </x:c>
      <x:c r="G126" s="64" t="str">
        <x:v>Substance Use</x:v>
      </x:c>
      <x:c r="H126" s="64" t="str">
        <x:v>C15</x:v>
      </x:c>
      <x:c r="I126" s="64" t="str">
        <x:f>IF('Substance Use'!C15="","",'Substance Use'!C15)</x:f>
      </x:c>
      <x:c r="J126" s="64" t="n">
        <x:f>IF(LEN(I126)&gt;0,1,0)</x:f>
        <x:v>0</x:v>
      </x:c>
      <x:c r="K126" s="64" t="n">
        <x:f>IF(AND(F126=TRUE,LEN(I126)&gt;0),1,0)</x:f>
        <x:v>0</x:v>
      </x:c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4" t="str">
        <x:v>PIPELINE_ASSESSMENT_WORKBOOK_V1</x:v>
      </x:c>
      <x:c r="B127" s="64" t="str">
        <x:v>physical_health_concerns</x:v>
      </x:c>
      <x:c r="C127" s="64" t="str">
        <x:v>Physical health concerns</x:v>
      </x:c>
      <x:c r="D127" s="64" t="str">
        <x:v>physical_health</x:v>
      </x:c>
      <x:c r="E127" s="64" t="str">
        <x:v>string</x:v>
      </x:c>
      <x:c r="F127" s="65" t="b">
        <x:v>1</x:v>
      </x:c>
      <x:c r="G127" s="64" t="str">
        <x:v>Physical Health</x:v>
      </x:c>
      <x:c r="H127" s="64" t="str">
        <x:v>C6</x:v>
      </x:c>
      <x:c r="I127" s="64" t="str">
        <x:f>IF('Physical Health'!C6="","",'Physical Health'!C6)</x:f>
      </x:c>
      <x:c r="J127" s="64" t="n">
        <x:f>IF(LEN(I127)&gt;0,1,0)</x:f>
        <x:v>0</x:v>
      </x:c>
      <x:c r="K127" s="64" t="n">
        <x:f>IF(AND(F127=TRUE,LEN(I127)&gt;0),1,0)</x:f>
        <x:v>0</x:v>
      </x:c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4" t="str">
        <x:v>PIPELINE_ASSESSMENT_WORKBOOK_V1</x:v>
      </x:c>
      <x:c r="B128" s="64" t="str">
        <x:v>physical_health_diagnoses</x:v>
      </x:c>
      <x:c r="C128" s="64" t="str">
        <x:v>Physical health diagnoses</x:v>
      </x:c>
      <x:c r="D128" s="64" t="str">
        <x:v>physical_health</x:v>
      </x:c>
      <x:c r="E128" s="64" t="str">
        <x:v>string</x:v>
      </x:c>
      <x:c r="F128" s="65" t="b">
        <x:v>0</x:v>
      </x:c>
      <x:c r="G128" s="64" t="str">
        <x:v>Physical Health</x:v>
      </x:c>
      <x:c r="H128" s="64" t="str">
        <x:v>C7</x:v>
      </x:c>
      <x:c r="I128" s="64" t="str">
        <x:f>IF('Physical Health'!C7="","",'Physical Health'!C7)</x:f>
      </x:c>
      <x:c r="J128" s="64" t="n">
        <x:f>IF(LEN(I128)&gt;0,1,0)</x:f>
        <x:v>0</x:v>
      </x:c>
      <x:c r="K128" s="64" t="n">
        <x:f>IF(AND(F128=TRUE,LEN(I128)&gt;0),1,0)</x:f>
        <x:v>0</x:v>
      </x:c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4" t="str">
        <x:v>PIPELINE_ASSESSMENT_WORKBOOK_V1</x:v>
      </x:c>
      <x:c r="B129" s="64" t="str">
        <x:v>physical_health_measures</x:v>
      </x:c>
      <x:c r="C129" s="64" t="str">
        <x:v>Current health measures</x:v>
      </x:c>
      <x:c r="D129" s="64" t="str">
        <x:v>physical_health</x:v>
      </x:c>
      <x:c r="E129" s="64" t="str">
        <x:v>string</x:v>
      </x:c>
      <x:c r="F129" s="65" t="b">
        <x:v>0</x:v>
      </x:c>
      <x:c r="G129" s="64" t="str">
        <x:v>Physical Health</x:v>
      </x:c>
      <x:c r="H129" s="64" t="str">
        <x:v>C8</x:v>
      </x:c>
      <x:c r="I129" s="64" t="str">
        <x:f>IF('Physical Health'!C8="","",'Physical Health'!C8)</x:f>
      </x:c>
      <x:c r="J129" s="64" t="n">
        <x:f>IF(LEN(I129)&gt;0,1,0)</x:f>
        <x:v>0</x:v>
      </x:c>
      <x:c r="K129" s="64" t="n">
        <x:f>IF(AND(F129=TRUE,LEN(I129)&gt;0),1,0)</x:f>
        <x:v>0</x:v>
      </x:c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4" t="str">
        <x:v>PIPELINE_ASSESSMENT_WORKBOOK_V1</x:v>
      </x:c>
      <x:c r="B130" s="64" t="str">
        <x:v>diabetic</x:v>
      </x:c>
      <x:c r="C130" s="64" t="str">
        <x:v>Diabetic</x:v>
      </x:c>
      <x:c r="D130" s="64" t="str">
        <x:v>physical_health</x:v>
      </x:c>
      <x:c r="E130" s="64" t="str">
        <x:v>string</x:v>
      </x:c>
      <x:c r="F130" s="65" t="b">
        <x:v>1</x:v>
      </x:c>
      <x:c r="G130" s="64" t="str">
        <x:v>Physical Health</x:v>
      </x:c>
      <x:c r="H130" s="64" t="str">
        <x:v>C9</x:v>
      </x:c>
      <x:c r="I130" s="64" t="str">
        <x:f>IF('Physical Health'!C9="","",'Physical Health'!C9)</x:f>
      </x:c>
      <x:c r="J130" s="64" t="n">
        <x:f>IF(LEN(I130)&gt;0,1,0)</x:f>
        <x:v>0</x:v>
      </x:c>
      <x:c r="K130" s="64" t="n">
        <x:f>IF(AND(F130=TRUE,LEN(I130)&gt;0),1,0)</x:f>
        <x:v>0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4" t="str">
        <x:v>PIPELINE_ASSESSMENT_WORKBOOK_V1</x:v>
      </x:c>
      <x:c r="B131" s="64" t="str">
        <x:v>diabetic_details</x:v>
      </x:c>
      <x:c r="C131" s="64" t="str">
        <x:v>Diabetes care details</x:v>
      </x:c>
      <x:c r="D131" s="64" t="str">
        <x:v>physical_health</x:v>
      </x:c>
      <x:c r="E131" s="64" t="str">
        <x:v>string</x:v>
      </x:c>
      <x:c r="F131" s="65" t="b">
        <x:v>0</x:v>
      </x:c>
      <x:c r="G131" s="64" t="str">
        <x:v>Physical Health</x:v>
      </x:c>
      <x:c r="H131" s="64" t="str">
        <x:v>C10</x:v>
      </x:c>
      <x:c r="I131" s="64" t="str">
        <x:f>IF('Physical Health'!C10="","",'Physical Health'!C10)</x:f>
      </x:c>
      <x:c r="J131" s="64" t="n">
        <x:f>IF(LEN(I131)&gt;0,1,0)</x:f>
        <x:v>0</x:v>
      </x:c>
      <x:c r="K131" s="64" t="n">
        <x:f>IF(AND(F131=TRUE,LEN(I131)&gt;0),1,0)</x:f>
        <x:v>0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4" t="str">
        <x:v>PIPELINE_ASSESSMENT_WORKBOOK_V1</x:v>
      </x:c>
      <x:c r="B132" s="64" t="str">
        <x:v>special_diet</x:v>
      </x:c>
      <x:c r="C132" s="64" t="str">
        <x:v>Special diet</x:v>
      </x:c>
      <x:c r="D132" s="64" t="str">
        <x:v>physical_health</x:v>
      </x:c>
      <x:c r="E132" s="64" t="str">
        <x:v>string</x:v>
      </x:c>
      <x:c r="F132" s="65" t="b">
        <x:v>1</x:v>
      </x:c>
      <x:c r="G132" s="64" t="str">
        <x:v>Physical Health</x:v>
      </x:c>
      <x:c r="H132" s="64" t="str">
        <x:v>C11</x:v>
      </x:c>
      <x:c r="I132" s="64" t="str">
        <x:f>IF('Physical Health'!C11="","",'Physical Health'!C11)</x:f>
      </x:c>
      <x:c r="J132" s="64" t="n">
        <x:f>IF(LEN(I132)&gt;0,1,0)</x:f>
        <x:v>0</x:v>
      </x:c>
      <x:c r="K132" s="64" t="n">
        <x:f>IF(AND(F132=TRUE,LEN(I132)&gt;0),1,0)</x:f>
        <x:v>0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4" t="str">
        <x:v>PIPELINE_ASSESSMENT_WORKBOOK_V1</x:v>
      </x:c>
      <x:c r="B133" s="64" t="str">
        <x:v>special_diet_details</x:v>
      </x:c>
      <x:c r="C133" s="64" t="str">
        <x:v>Dietary restrictions</x:v>
      </x:c>
      <x:c r="D133" s="64" t="str">
        <x:v>physical_health</x:v>
      </x:c>
      <x:c r="E133" s="64" t="str">
        <x:v>string</x:v>
      </x:c>
      <x:c r="F133" s="65" t="b">
        <x:v>0</x:v>
      </x:c>
      <x:c r="G133" s="64" t="str">
        <x:v>Physical Health</x:v>
      </x:c>
      <x:c r="H133" s="64" t="str">
        <x:v>C12</x:v>
      </x:c>
      <x:c r="I133" s="64" t="str">
        <x:f>IF('Physical Health'!C12="","",'Physical Health'!C12)</x:f>
      </x:c>
      <x:c r="J133" s="64" t="n">
        <x:f>IF(LEN(I133)&gt;0,1,0)</x:f>
        <x:v>0</x:v>
      </x:c>
      <x:c r="K133" s="64" t="n">
        <x:f>IF(AND(F133=TRUE,LEN(I133)&gt;0),1,0)</x:f>
        <x:v>0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4" t="str">
        <x:v>PIPELINE_ASSESSMENT_WORKBOOK_V1</x:v>
      </x:c>
      <x:c r="B134" s="64" t="str">
        <x:v>skin_integrity_issue</x:v>
      </x:c>
      <x:c r="C134" s="64" t="str">
        <x:v>Skin integrity issue</x:v>
      </x:c>
      <x:c r="D134" s="64" t="str">
        <x:v>physical_health</x:v>
      </x:c>
      <x:c r="E134" s="64" t="str">
        <x:v>string</x:v>
      </x:c>
      <x:c r="F134" s="65" t="b">
        <x:v>1</x:v>
      </x:c>
      <x:c r="G134" s="64" t="str">
        <x:v>Physical Health</x:v>
      </x:c>
      <x:c r="H134" s="64" t="str">
        <x:v>C13</x:v>
      </x:c>
      <x:c r="I134" s="64" t="str">
        <x:f>IF('Physical Health'!C13="","",'Physical Health'!C13)</x:f>
      </x:c>
      <x:c r="J134" s="64" t="n">
        <x:f>IF(LEN(I134)&gt;0,1,0)</x:f>
        <x:v>0</x:v>
      </x:c>
      <x:c r="K134" s="64" t="n">
        <x:f>IF(AND(F134=TRUE,LEN(I134)&gt;0),1,0)</x:f>
        <x:v>0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4" t="str">
        <x:v>PIPELINE_ASSESSMENT_WORKBOOK_V1</x:v>
      </x:c>
      <x:c r="B135" s="64" t="str">
        <x:v>skin_integrity_details</x:v>
      </x:c>
      <x:c r="C135" s="64" t="str">
        <x:v>Skin integrity details</x:v>
      </x:c>
      <x:c r="D135" s="64" t="str">
        <x:v>physical_health</x:v>
      </x:c>
      <x:c r="E135" s="64" t="str">
        <x:v>string</x:v>
      </x:c>
      <x:c r="F135" s="65" t="b">
        <x:v>0</x:v>
      </x:c>
      <x:c r="G135" s="64" t="str">
        <x:v>Physical Health</x:v>
      </x:c>
      <x:c r="H135" s="64" t="str">
        <x:v>C14</x:v>
      </x:c>
      <x:c r="I135" s="64" t="str">
        <x:f>IF('Physical Health'!C14="","",'Physical Health'!C14)</x:f>
      </x:c>
      <x:c r="J135" s="64" t="n">
        <x:f>IF(LEN(I135)&gt;0,1,0)</x:f>
        <x:v>0</x:v>
      </x:c>
      <x:c r="K135" s="64" t="n">
        <x:f>IF(AND(F135=TRUE,LEN(I135)&gt;0),1,0)</x:f>
        <x:v>0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4" t="str">
        <x:v>PIPELINE_ASSESSMENT_WORKBOOK_V1</x:v>
      </x:c>
      <x:c r="B136" s="64" t="str">
        <x:v>uses_dentures</x:v>
      </x:c>
      <x:c r="C136" s="64" t="str">
        <x:v>Dentures</x:v>
      </x:c>
      <x:c r="D136" s="64" t="str">
        <x:v>physical_health</x:v>
      </x:c>
      <x:c r="E136" s="64" t="str">
        <x:v>string</x:v>
      </x:c>
      <x:c r="F136" s="65" t="b">
        <x:v>1</x:v>
      </x:c>
      <x:c r="G136" s="64" t="str">
        <x:v>Physical Health</x:v>
      </x:c>
      <x:c r="H136" s="64" t="str">
        <x:v>C15</x:v>
      </x:c>
      <x:c r="I136" s="64" t="str">
        <x:f>IF('Physical Health'!C15="","",'Physical Health'!C15)</x:f>
      </x:c>
      <x:c r="J136" s="64" t="n">
        <x:f>IF(LEN(I136)&gt;0,1,0)</x:f>
        <x:v>0</x:v>
      </x:c>
      <x:c r="K136" s="64" t="n">
        <x:f>IF(AND(F136=TRUE,LEN(I136)&gt;0),1,0)</x:f>
        <x:v>0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4" t="str">
        <x:v>PIPELINE_ASSESSMENT_WORKBOOK_V1</x:v>
      </x:c>
      <x:c r="B137" s="64" t="str">
        <x:v>uses_hearing_aids</x:v>
      </x:c>
      <x:c r="C137" s="64" t="str">
        <x:v>Hearing aids</x:v>
      </x:c>
      <x:c r="D137" s="64" t="str">
        <x:v>physical_health</x:v>
      </x:c>
      <x:c r="E137" s="64" t="str">
        <x:v>string</x:v>
      </x:c>
      <x:c r="F137" s="65" t="b">
        <x:v>1</x:v>
      </x:c>
      <x:c r="G137" s="64" t="str">
        <x:v>Physical Health</x:v>
      </x:c>
      <x:c r="H137" s="64" t="str">
        <x:v>C16</x:v>
      </x:c>
      <x:c r="I137" s="64" t="str">
        <x:f>IF('Physical Health'!C16="","",'Physical Health'!C16)</x:f>
      </x:c>
      <x:c r="J137" s="64" t="n">
        <x:f>IF(LEN(I137)&gt;0,1,0)</x:f>
        <x:v>0</x:v>
      </x:c>
      <x:c r="K137" s="64" t="n">
        <x:f>IF(AND(F137=TRUE,LEN(I137)&gt;0),1,0)</x:f>
        <x:v>0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4" t="str">
        <x:v>PIPELINE_ASSESSMENT_WORKBOOK_V1</x:v>
      </x:c>
      <x:c r="B138" s="64" t="str">
        <x:v>uses_glasses</x:v>
      </x:c>
      <x:c r="C138" s="64" t="str">
        <x:v>Glasses</x:v>
      </x:c>
      <x:c r="D138" s="64" t="str">
        <x:v>physical_health</x:v>
      </x:c>
      <x:c r="E138" s="64" t="str">
        <x:v>string</x:v>
      </x:c>
      <x:c r="F138" s="65" t="b">
        <x:v>1</x:v>
      </x:c>
      <x:c r="G138" s="64" t="str">
        <x:v>Physical Health</x:v>
      </x:c>
      <x:c r="H138" s="64" t="str">
        <x:v>C17</x:v>
      </x:c>
      <x:c r="I138" s="64" t="str">
        <x:f>IF('Physical Health'!C17="","",'Physical Health'!C17)</x:f>
      </x:c>
      <x:c r="J138" s="64" t="n">
        <x:f>IF(LEN(I138)&gt;0,1,0)</x:f>
        <x:v>0</x:v>
      </x:c>
      <x:c r="K138" s="64" t="n">
        <x:f>IF(AND(F138=TRUE,LEN(I138)&gt;0),1,0)</x:f>
        <x:v>0</x:v>
      </x:c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4" t="str">
        <x:v>PIPELINE_ASSESSMENT_WORKBOOK_V1</x:v>
      </x:c>
      <x:c r="B139" s="64" t="str">
        <x:v>uses_oxygen</x:v>
      </x:c>
      <x:c r="C139" s="64" t="str">
        <x:v>Oxygen</x:v>
      </x:c>
      <x:c r="D139" s="64" t="str">
        <x:v>physical_health</x:v>
      </x:c>
      <x:c r="E139" s="64" t="str">
        <x:v>string</x:v>
      </x:c>
      <x:c r="F139" s="65" t="b">
        <x:v>1</x:v>
      </x:c>
      <x:c r="G139" s="64" t="str">
        <x:v>Physical Health</x:v>
      </x:c>
      <x:c r="H139" s="64" t="str">
        <x:v>C18</x:v>
      </x:c>
      <x:c r="I139" s="64" t="str">
        <x:f>IF('Physical Health'!C18="","",'Physical Health'!C18)</x:f>
      </x:c>
      <x:c r="J139" s="64" t="n">
        <x:f>IF(LEN(I139)&gt;0,1,0)</x:f>
        <x:v>0</x:v>
      </x:c>
      <x:c r="K139" s="64" t="n">
        <x:f>IF(AND(F139=TRUE,LEN(I139)&gt;0),1,0)</x:f>
        <x:v>0</x:v>
      </x:c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4" t="str">
        <x:v>PIPELINE_ASSESSMENT_WORKBOOK_V1</x:v>
      </x:c>
      <x:c r="B140" s="64" t="str">
        <x:v>uses_hospital_bed</x:v>
      </x:c>
      <x:c r="C140" s="64" t="str">
        <x:v>Hospital bed</x:v>
      </x:c>
      <x:c r="D140" s="64" t="str">
        <x:v>physical_health</x:v>
      </x:c>
      <x:c r="E140" s="64" t="str">
        <x:v>string</x:v>
      </x:c>
      <x:c r="F140" s="65" t="b">
        <x:v>1</x:v>
      </x:c>
      <x:c r="G140" s="64" t="str">
        <x:v>Physical Health</x:v>
      </x:c>
      <x:c r="H140" s="64" t="str">
        <x:v>C19</x:v>
      </x:c>
      <x:c r="I140" s="64" t="str">
        <x:f>IF('Physical Health'!C19="","",'Physical Health'!C19)</x:f>
      </x:c>
      <x:c r="J140" s="64" t="n">
        <x:f>IF(LEN(I140)&gt;0,1,0)</x:f>
        <x:v>0</x:v>
      </x:c>
      <x:c r="K140" s="64" t="n">
        <x:f>IF(AND(F140=TRUE,LEN(I140)&gt;0),1,0)</x:f>
        <x:v>0</x:v>
      </x:c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4" t="str">
        <x:v>PIPELINE_ASSESSMENT_WORKBOOK_V1</x:v>
      </x:c>
      <x:c r="B141" s="64" t="str">
        <x:v>uses_cpap</x:v>
      </x:c>
      <x:c r="C141" s="64" t="str">
        <x:v>CPAP</x:v>
      </x:c>
      <x:c r="D141" s="64" t="str">
        <x:v>physical_health</x:v>
      </x:c>
      <x:c r="E141" s="64" t="str">
        <x:v>string</x:v>
      </x:c>
      <x:c r="F141" s="65" t="b">
        <x:v>1</x:v>
      </x:c>
      <x:c r="G141" s="64" t="str">
        <x:v>Physical Health</x:v>
      </x:c>
      <x:c r="H141" s="64" t="str">
        <x:v>C20</x:v>
      </x:c>
      <x:c r="I141" s="64" t="str">
        <x:f>IF('Physical Health'!C20="","",'Physical Health'!C20)</x:f>
      </x:c>
      <x:c r="J141" s="64" t="n">
        <x:f>IF(LEN(I141)&gt;0,1,0)</x:f>
        <x:v>0</x:v>
      </x:c>
      <x:c r="K141" s="64" t="n">
        <x:f>IF(AND(F141=TRUE,LEN(I141)&gt;0),1,0)</x:f>
        <x:v>0</x:v>
      </x:c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4" t="str">
        <x:v>PIPELINE_ASSESSMENT_WORKBOOK_V1</x:v>
      </x:c>
      <x:c r="B142" s="64" t="str">
        <x:v>catheter_care</x:v>
      </x:c>
      <x:c r="C142" s="64" t="str">
        <x:v>Catheter care</x:v>
      </x:c>
      <x:c r="D142" s="64" t="str">
        <x:v>physical_health</x:v>
      </x:c>
      <x:c r="E142" s="64" t="str">
        <x:v>string</x:v>
      </x:c>
      <x:c r="F142" s="65" t="b">
        <x:v>1</x:v>
      </x:c>
      <x:c r="G142" s="64" t="str">
        <x:v>Physical Health</x:v>
      </x:c>
      <x:c r="H142" s="64" t="str">
        <x:v>C21</x:v>
      </x:c>
      <x:c r="I142" s="64" t="str">
        <x:f>IF('Physical Health'!C21="","",'Physical Health'!C21)</x:f>
      </x:c>
      <x:c r="J142" s="64" t="n">
        <x:f>IF(LEN(I142)&gt;0,1,0)</x:f>
        <x:v>0</x:v>
      </x:c>
      <x:c r="K142" s="64" t="n">
        <x:f>IF(AND(F142=TRUE,LEN(I142)&gt;0),1,0)</x:f>
        <x:v>0</x:v>
      </x:c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4" t="str">
        <x:v>PIPELINE_ASSESSMENT_WORKBOOK_V1</x:v>
      </x:c>
      <x:c r="B143" s="64" t="str">
        <x:v>colostomy</x:v>
      </x:c>
      <x:c r="C143" s="64" t="str">
        <x:v>Colostomy</x:v>
      </x:c>
      <x:c r="D143" s="64" t="str">
        <x:v>physical_health</x:v>
      </x:c>
      <x:c r="E143" s="64" t="str">
        <x:v>string</x:v>
      </x:c>
      <x:c r="F143" s="65" t="b">
        <x:v>1</x:v>
      </x:c>
      <x:c r="G143" s="64" t="str">
        <x:v>Physical Health</x:v>
      </x:c>
      <x:c r="H143" s="64" t="str">
        <x:v>C22</x:v>
      </x:c>
      <x:c r="I143" s="64" t="str">
        <x:f>IF('Physical Health'!C22="","",'Physical Health'!C22)</x:f>
      </x:c>
      <x:c r="J143" s="64" t="n">
        <x:f>IF(LEN(I143)&gt;0,1,0)</x:f>
        <x:v>0</x:v>
      </x:c>
      <x:c r="K143" s="64" t="n">
        <x:f>IF(AND(F143=TRUE,LEN(I143)&gt;0),1,0)</x:f>
        <x:v>0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4" t="str">
        <x:v>PIPELINE_ASSESSMENT_WORKBOOK_V1</x:v>
      </x:c>
      <x:c r="B144" s="64" t="str">
        <x:v>ileostomy</x:v>
      </x:c>
      <x:c r="C144" s="64" t="str">
        <x:v>Ileostomy</x:v>
      </x:c>
      <x:c r="D144" s="64" t="str">
        <x:v>physical_health</x:v>
      </x:c>
      <x:c r="E144" s="64" t="str">
        <x:v>string</x:v>
      </x:c>
      <x:c r="F144" s="65" t="b">
        <x:v>1</x:v>
      </x:c>
      <x:c r="G144" s="64" t="str">
        <x:v>Physical Health</x:v>
      </x:c>
      <x:c r="H144" s="64" t="str">
        <x:v>C23</x:v>
      </x:c>
      <x:c r="I144" s="64" t="str">
        <x:f>IF('Physical Health'!C23="","",'Physical Health'!C23)</x:f>
      </x:c>
      <x:c r="J144" s="64" t="n">
        <x:f>IF(LEN(I144)&gt;0,1,0)</x:f>
        <x:v>0</x:v>
      </x:c>
      <x:c r="K144" s="64" t="n">
        <x:f>IF(AND(F144=TRUE,LEN(I144)&gt;0),1,0)</x:f>
        <x:v>0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4" t="str">
        <x:v>PIPELINE_ASSESSMENT_WORKBOOK_V1</x:v>
      </x:c>
      <x:c r="B145" s="64" t="str">
        <x:v>incontinence_issues</x:v>
      </x:c>
      <x:c r="C145" s="64" t="str">
        <x:v>Incontinence issues</x:v>
      </x:c>
      <x:c r="D145" s="64" t="str">
        <x:v>physical_health</x:v>
      </x:c>
      <x:c r="E145" s="64" t="str">
        <x:v>string</x:v>
      </x:c>
      <x:c r="F145" s="65" t="b">
        <x:v>1</x:v>
      </x:c>
      <x:c r="G145" s="64" t="str">
        <x:v>Physical Health</x:v>
      </x:c>
      <x:c r="H145" s="64" t="str">
        <x:v>C24</x:v>
      </x:c>
      <x:c r="I145" s="64" t="str">
        <x:f>IF('Physical Health'!C24="","",'Physical Health'!C24)</x:f>
      </x:c>
      <x:c r="J145" s="64" t="n">
        <x:f>IF(LEN(I145)&gt;0,1,0)</x:f>
        <x:v>0</x:v>
      </x:c>
      <x:c r="K145" s="64" t="n">
        <x:f>IF(AND(F145=TRUE,LEN(I145)&gt;0),1,0)</x:f>
        <x:v>0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4" t="str">
        <x:v>PIPELINE_ASSESSMENT_WORKBOOK_V1</x:v>
      </x:c>
      <x:c r="B146" s="64" t="str">
        <x:v>brief_change_support</x:v>
      </x:c>
      <x:c r="C146" s="64" t="str">
        <x:v>Support</x:v>
      </x:c>
      <x:c r="D146" s="64" t="str">
        <x:v>physical_health</x:v>
      </x:c>
      <x:c r="E146" s="64" t="str">
        <x:v>string</x:v>
      </x:c>
      <x:c r="F146" s="65" t="b">
        <x:v>0</x:v>
      </x:c>
      <x:c r="G146" s="64" t="str">
        <x:v>Physical Health</x:v>
      </x:c>
      <x:c r="H146" s="64" t="str">
        <x:v>C25</x:v>
      </x:c>
      <x:c r="I146" s="64" t="str">
        <x:f>IF('Physical Health'!C25="","",'Physical Health'!C25)</x:f>
      </x:c>
      <x:c r="J146" s="64" t="n">
        <x:f>IF(LEN(I146)&gt;0,1,0)</x:f>
        <x:v>0</x:v>
      </x:c>
      <x:c r="K146" s="64" t="n">
        <x:f>IF(AND(F146=TRUE,LEN(I146)&gt;0),1,0)</x:f>
        <x:v>0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4" t="str">
        <x:v>PIPELINE_ASSESSMENT_WORKBOOK_V1</x:v>
      </x:c>
      <x:c r="B147" s="64" t="str">
        <x:v>additional_health_notes</x:v>
      </x:c>
      <x:c r="C147" s="64" t="str">
        <x:v>Additional health information</x:v>
      </x:c>
      <x:c r="D147" s="64" t="str">
        <x:v>physical_health</x:v>
      </x:c>
      <x:c r="E147" s="64" t="str">
        <x:v>string</x:v>
      </x:c>
      <x:c r="F147" s="65" t="b">
        <x:v>0</x:v>
      </x:c>
      <x:c r="G147" s="64" t="str">
        <x:v>Physical Health</x:v>
      </x:c>
      <x:c r="H147" s="64" t="str">
        <x:v>C26</x:v>
      </x:c>
      <x:c r="I147" s="64" t="str">
        <x:f>IF('Physical Health'!C26="","",'Physical Health'!C26)</x:f>
      </x:c>
      <x:c r="J147" s="64" t="n">
        <x:f>IF(LEN(I147)&gt;0,1,0)</x:f>
        <x:v>0</x:v>
      </x:c>
      <x:c r="K147" s="64" t="n">
        <x:f>IF(AND(F147=TRUE,LEN(I147)&gt;0),1,0)</x:f>
        <x:v>0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4" t="str">
        <x:v>PIPELINE_ASSESSMENT_WORKBOOK_V1</x:v>
      </x:c>
      <x:c r="B148" s="64" t="str">
        <x:v>family_involvement</x:v>
      </x:c>
      <x:c r="C148" s="64" t="str">
        <x:v>Family involvement</x:v>
      </x:c>
      <x:c r="D148" s="64" t="str">
        <x:v>social_support</x:v>
      </x:c>
      <x:c r="E148" s="64" t="str">
        <x:v>string</x:v>
      </x:c>
      <x:c r="F148" s="65" t="b">
        <x:v>0</x:v>
      </x:c>
      <x:c r="G148" s="64" t="str">
        <x:v>Support &amp; Goals</x:v>
      </x:c>
      <x:c r="H148" s="64" t="str">
        <x:v>C6</x:v>
      </x:c>
      <x:c r="I148" s="64" t="str">
        <x:f>IF('Support &amp; Goals'!C6="","",'Support &amp; Goals'!C6)</x:f>
      </x:c>
      <x:c r="J148" s="64" t="n">
        <x:f>IF(LEN(I148)&gt;0,1,0)</x:f>
        <x:v>0</x:v>
      </x:c>
      <x:c r="K148" s="64" t="n">
        <x:f>IF(AND(F148=TRUE,LEN(I148)&gt;0),1,0)</x:f>
        <x:v>0</x:v>
      </x:c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4" t="str">
        <x:v>PIPELINE_ASSESSMENT_WORKBOOK_V1</x:v>
      </x:c>
      <x:c r="B149" s="64" t="str">
        <x:v>housing_history</x:v>
      </x:c>
      <x:c r="C149" s="64" t="str">
        <x:v>Housing history</x:v>
      </x:c>
      <x:c r="D149" s="64" t="str">
        <x:v>social_support</x:v>
      </x:c>
      <x:c r="E149" s="64" t="str">
        <x:v>string</x:v>
      </x:c>
      <x:c r="F149" s="65" t="b">
        <x:v>0</x:v>
      </x:c>
      <x:c r="G149" s="64" t="str">
        <x:v>Support &amp; Goals</x:v>
      </x:c>
      <x:c r="H149" s="64" t="str">
        <x:v>C7</x:v>
      </x:c>
      <x:c r="I149" s="64" t="str">
        <x:f>IF('Support &amp; Goals'!C7="","",'Support &amp; Goals'!C7)</x:f>
      </x:c>
      <x:c r="J149" s="64" t="n">
        <x:f>IF(LEN(I149)&gt;0,1,0)</x:f>
        <x:v>0</x:v>
      </x:c>
      <x:c r="K149" s="64" t="n">
        <x:f>IF(AND(F149=TRUE,LEN(I149)&gt;0),1,0)</x:f>
        <x:v>0</x:v>
      </x:c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4" t="str">
        <x:v>PIPELINE_ASSESSMENT_WORKBOOK_V1</x:v>
      </x:c>
      <x:c r="B150" s="64" t="str">
        <x:v>prior_living_situation</x:v>
      </x:c>
      <x:c r="C150" s="64" t="str">
        <x:v>Prior living situation</x:v>
      </x:c>
      <x:c r="D150" s="64" t="str">
        <x:v>social_support</x:v>
      </x:c>
      <x:c r="E150" s="64" t="str">
        <x:v>string</x:v>
      </x:c>
      <x:c r="F150" s="65" t="b">
        <x:v>0</x:v>
      </x:c>
      <x:c r="G150" s="64" t="str">
        <x:v>Support &amp; Goals</x:v>
      </x:c>
      <x:c r="H150" s="64" t="str">
        <x:v>C8</x:v>
      </x:c>
      <x:c r="I150" s="64" t="str">
        <x:f>IF('Support &amp; Goals'!C8="","",'Support &amp; Goals'!C8)</x:f>
      </x:c>
      <x:c r="J150" s="64" t="n">
        <x:f>IF(LEN(I150)&gt;0,1,0)</x:f>
        <x:v>0</x:v>
      </x:c>
      <x:c r="K150" s="64" t="n">
        <x:f>IF(AND(F150=TRUE,LEN(I150)&gt;0),1,0)</x:f>
        <x:v>0</x:v>
      </x:c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4" t="str">
        <x:v>PIPELINE_ASSESSMENT_WORKBOOK_V1</x:v>
      </x:c>
      <x:c r="B151" s="64" t="str">
        <x:v>benefits_income_status</x:v>
      </x:c>
      <x:c r="C151" s="64" t="str">
        <x:v>Benefits / income status</x:v>
      </x:c>
      <x:c r="D151" s="64" t="str">
        <x:v>social_support</x:v>
      </x:c>
      <x:c r="E151" s="64" t="str">
        <x:v>string</x:v>
      </x:c>
      <x:c r="F151" s="65" t="b">
        <x:v>0</x:v>
      </x:c>
      <x:c r="G151" s="64" t="str">
        <x:v>Support &amp; Goals</x:v>
      </x:c>
      <x:c r="H151" s="64" t="str">
        <x:v>C9</x:v>
      </x:c>
      <x:c r="I151" s="64" t="str">
        <x:f>IF('Support &amp; Goals'!C9="","",'Support &amp; Goals'!C9)</x:f>
      </x:c>
      <x:c r="J151" s="64" t="n">
        <x:f>IF(LEN(I151)&gt;0,1,0)</x:f>
        <x:v>0</x:v>
      </x:c>
      <x:c r="K151" s="64" t="n">
        <x:f>IF(AND(F151=TRUE,LEN(I151)&gt;0),1,0)</x:f>
        <x:v>0</x:v>
      </x:c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4" t="str">
        <x:v>PIPELINE_ASSESSMENT_WORKBOOK_V1</x:v>
      </x:c>
      <x:c r="B152" s="64" t="str">
        <x:v>discharge_planning_goals</x:v>
      </x:c>
      <x:c r="C152" s="64" t="str">
        <x:v>Discharge planning goals</x:v>
      </x:c>
      <x:c r="D152" s="64" t="str">
        <x:v>social_support</x:v>
      </x:c>
      <x:c r="E152" s="64" t="str">
        <x:v>string</x:v>
      </x:c>
      <x:c r="F152" s="65" t="b">
        <x:v>0</x:v>
      </x:c>
      <x:c r="G152" s="64" t="str">
        <x:v>Support &amp; Goals</x:v>
      </x:c>
      <x:c r="H152" s="64" t="str">
        <x:v>C10</x:v>
      </x:c>
      <x:c r="I152" s="64" t="str">
        <x:f>IF('Support &amp; Goals'!C10="","",'Support &amp; Goals'!C10)</x:f>
      </x:c>
      <x:c r="J152" s="64" t="n">
        <x:f>IF(LEN(I152)&gt;0,1,0)</x:f>
        <x:v>0</x:v>
      </x:c>
      <x:c r="K152" s="64" t="n">
        <x:f>IF(AND(F152=TRUE,LEN(I152)&gt;0),1,0)</x:f>
        <x:v>0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4" t="str">
        <x:v>PIPELINE_ASSESSMENT_WORKBOOK_V1</x:v>
      </x:c>
      <x:c r="B153" s="64" t="str">
        <x:v>friendships_social_connections</x:v>
      </x:c>
      <x:c r="C153" s="64" t="str">
        <x:v>Friendships and social connections</x:v>
      </x:c>
      <x:c r="D153" s="64" t="str">
        <x:v>social_support</x:v>
      </x:c>
      <x:c r="E153" s="64" t="str">
        <x:v>string</x:v>
      </x:c>
      <x:c r="F153" s="65" t="b">
        <x:v>0</x:v>
      </x:c>
      <x:c r="G153" s="64" t="str">
        <x:v>Support &amp; Goals</x:v>
      </x:c>
      <x:c r="H153" s="64" t="str">
        <x:v>C11</x:v>
      </x:c>
      <x:c r="I153" s="64" t="str">
        <x:f>IF('Support &amp; Goals'!C11="","",'Support &amp; Goals'!C11)</x:f>
      </x:c>
      <x:c r="J153" s="64" t="n">
        <x:f>IF(LEN(I153)&gt;0,1,0)</x:f>
        <x:v>0</x:v>
      </x:c>
      <x:c r="K153" s="64" t="n">
        <x:f>IF(AND(F153=TRUE,LEN(I153)&gt;0),1,0)</x:f>
        <x:v>0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4" t="str">
        <x:v>PIPELINE_ASSESSMENT_WORKBOOK_V1</x:v>
      </x:c>
      <x:c r="B154" s="64" t="str">
        <x:v>preferred_facility_characteristics</x:v>
      </x:c>
      <x:c r="C154" s="64" t="str">
        <x:v>Preferred facility characteristics</x:v>
      </x:c>
      <x:c r="D154" s="64" t="str">
        <x:v>social_support</x:v>
      </x:c>
      <x:c r="E154" s="64" t="str">
        <x:v>string</x:v>
      </x:c>
      <x:c r="F154" s="65" t="b">
        <x:v>0</x:v>
      </x:c>
      <x:c r="G154" s="64" t="str">
        <x:v>Support &amp; Goals</x:v>
      </x:c>
      <x:c r="H154" s="64" t="str">
        <x:v>C12</x:v>
      </x:c>
      <x:c r="I154" s="64" t="str">
        <x:f>IF('Support &amp; Goals'!C12="","",'Support &amp; Goals'!C12)</x:f>
      </x:c>
      <x:c r="J154" s="64" t="n">
        <x:f>IF(LEN(I154)&gt;0,1,0)</x:f>
        <x:v>0</x:v>
      </x:c>
      <x:c r="K154" s="64" t="n">
        <x:f>IF(AND(F154=TRUE,LEN(I154)&gt;0),1,0)</x:f>
        <x:v>0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4" t="str">
        <x:v>PIPELINE_ASSESSMENT_WORKBOOK_V1</x:v>
      </x:c>
      <x:c r="B155" s="64" t="str">
        <x:v>placement_preferences_concerns</x:v>
      </x:c>
      <x:c r="C155" s="64" t="str">
        <x:v>Placement preferences and concerns</x:v>
      </x:c>
      <x:c r="D155" s="64" t="str">
        <x:v>social_support</x:v>
      </x:c>
      <x:c r="E155" s="64" t="str">
        <x:v>string</x:v>
      </x:c>
      <x:c r="F155" s="65" t="b">
        <x:v>0</x:v>
      </x:c>
      <x:c r="G155" s="64" t="str">
        <x:v>Support &amp; Goals</x:v>
      </x:c>
      <x:c r="H155" s="64" t="str">
        <x:v>C13</x:v>
      </x:c>
      <x:c r="I155" s="64" t="str">
        <x:f>IF('Support &amp; Goals'!C13="","",'Support &amp; Goals'!C13)</x:f>
      </x:c>
      <x:c r="J155" s="64" t="n">
        <x:f>IF(LEN(I155)&gt;0,1,0)</x:f>
        <x:v>0</x:v>
      </x:c>
      <x:c r="K155" s="64" t="n">
        <x:f>IF(AND(F155=TRUE,LEN(I155)&gt;0),1,0)</x:f>
        <x:v>0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4" t="str">
        <x:v>PIPELINE_ASSESSMENT_WORKBOOK_V1</x:v>
      </x:c>
      <x:c r="B156" s="64" t="str">
        <x:v>additional_information</x:v>
      </x:c>
      <x:c r="C156" s="64" t="str">
        <x:v>Additional information</x:v>
      </x:c>
      <x:c r="D156" s="64" t="str">
        <x:v>provenance_qc</x:v>
      </x:c>
      <x:c r="E156" s="64" t="str">
        <x:v>string</x:v>
      </x:c>
      <x:c r="F156" s="65" t="b">
        <x:v>0</x:v>
      </x:c>
      <x:c r="G156" s="64" t="str">
        <x:v>Review</x:v>
      </x:c>
      <x:c r="H156" s="64" t="str">
        <x:v>C6</x:v>
      </x:c>
      <x:c r="I156" s="64" t="str">
        <x:f>IF('Review'!C6="","",'Review'!C6)</x:f>
      </x:c>
      <x:c r="J156" s="64" t="n">
        <x:f>IF(LEN(I156)&gt;0,1,0)</x:f>
        <x:v>0</x:v>
      </x:c>
      <x:c r="K156" s="64" t="n">
        <x:f>IF(AND(F156=TRUE,LEN(I156)&gt;0),1,0)</x:f>
        <x:v>0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4" t="str">
        <x:v>PIPELINE_ASSESSMENT_WORKBOOK_V1</x:v>
      </x:c>
      <x:c r="B157" s="64" t="str">
        <x:v>placement_process_questions</x:v>
      </x:c>
      <x:c r="C157" s="64" t="str">
        <x:v>Placement questions or concerns</x:v>
      </x:c>
      <x:c r="D157" s="64" t="str">
        <x:v>provenance_qc</x:v>
      </x:c>
      <x:c r="E157" s="64" t="str">
        <x:v>string</x:v>
      </x:c>
      <x:c r="F157" s="65" t="b">
        <x:v>0</x:v>
      </x:c>
      <x:c r="G157" s="64" t="str">
        <x:v>Review</x:v>
      </x:c>
      <x:c r="H157" s="64" t="str">
        <x:v>C7</x:v>
      </x:c>
      <x:c r="I157" s="64" t="str">
        <x:f>IF('Review'!C7="","",'Review'!C7)</x:f>
      </x:c>
      <x:c r="J157" s="64" t="n">
        <x:f>IF(LEN(I157)&gt;0,1,0)</x:f>
        <x:v>0</x:v>
      </x:c>
      <x:c r="K157" s="64" t="n">
        <x:f>IF(AND(F157=TRUE,LEN(I157)&gt;0),1,0)</x:f>
        <x:v>0</x:v>
      </x:c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4" t="str">
        <x:v>PIPELINE_ASSESSMENT_WORKBOOK_V1</x:v>
      </x:c>
      <x:c r="B158" s="64" t="str">
        <x:v>unable_to_assess_reasons</x:v>
      </x:c>
      <x:c r="C158" s="64" t="str">
        <x:v>Unable-to-assess explanations</x:v>
      </x:c>
      <x:c r="D158" s="64" t="str">
        <x:v>provenance_qc</x:v>
      </x:c>
      <x:c r="E158" s="64" t="str">
        <x:v>reason_map</x:v>
      </x:c>
      <x:c r="F158" s="65" t="b">
        <x:v>0</x:v>
      </x:c>
      <x:c r="G158" s="64" t="str">
        <x:v>Review</x:v>
      </x:c>
      <x:c r="H158" s="64" t="str">
        <x:v>C8</x:v>
      </x:c>
      <x:c r="I158" s="64" t="str">
        <x:f>IF('Review'!C8="","",'Review'!C8)</x:f>
      </x:c>
      <x:c r="J158" s="64" t="n">
        <x:f>IF(LEN(I158)&gt;0,1,0)</x:f>
        <x:v>0</x:v>
      </x:c>
      <x:c r="K158" s="64" t="n">
        <x:f>IF(AND(F158=TRUE,LEN(I158)&gt;0),1,0)</x:f>
        <x:v>0</x:v>
      </x:c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4" t="str">
        <x:v>PIPELINE_ASSESSMENT_WORKBOOK_V1</x:v>
      </x:c>
      <x:c r="B159" s="64" t="str">
        <x:v>source_file</x:v>
      </x:c>
      <x:c r="C159" s="64" t="str">
        <x:v>Source file</x:v>
      </x:c>
      <x:c r="D159" s="64" t="str">
        <x:v>provenance_qc</x:v>
      </x:c>
      <x:c r="E159" s="64" t="str">
        <x:v>string</x:v>
      </x:c>
      <x:c r="F159" s="65" t="b">
        <x:v>0</x:v>
      </x:c>
      <x:c r="G159" s="64" t="str">
        <x:v>Review</x:v>
      </x:c>
      <x:c r="H159" s="64" t="str">
        <x:v>C9</x:v>
      </x:c>
      <x:c r="I159" s="64" t="str">
        <x:f>IF('Review'!C9="","",'Review'!C9)</x:f>
      </x:c>
      <x:c r="J159" s="64" t="n">
        <x:f>IF(LEN(I159)&gt;0,1,0)</x:f>
        <x:v>0</x:v>
      </x:c>
      <x:c r="K159" s="64" t="n">
        <x:f>IF(AND(F159=TRUE,LEN(I159)&gt;0),1,0)</x:f>
        <x:v>0</x:v>
      </x:c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64" t="str">
        <x:v>PIPELINE_ASSESSMENT_WORKBOOK_V1</x:v>
      </x:c>
      <x:c r="B160" s="64" t="str">
        <x:v>match_confidence</x:v>
      </x:c>
      <x:c r="C160" s="64" t="str">
        <x:v>Match confidence</x:v>
      </x:c>
      <x:c r="D160" s="64" t="str">
        <x:v>provenance_qc</x:v>
      </x:c>
      <x:c r="E160" s="64" t="str">
        <x:v>confidence</x:v>
      </x:c>
      <x:c r="F160" s="65" t="b">
        <x:v>0</x:v>
      </x:c>
      <x:c r="G160" s="64" t="str">
        <x:v>Review</x:v>
      </x:c>
      <x:c r="H160" s="64" t="str">
        <x:v>C10</x:v>
      </x:c>
      <x:c r="I160" s="64" t="str">
        <x:f>IF('Review'!C10="","",'Review'!C10)</x:f>
      </x:c>
      <x:c r="J160" s="64" t="n">
        <x:f>IF(LEN(I160)&gt;0,1,0)</x:f>
        <x:v>0</x:v>
      </x:c>
      <x:c r="K160" s="64" t="n">
        <x:f>IF(AND(F160=TRUE,LEN(I160)&gt;0),1,0)</x:f>
        <x:v>0</x:v>
      </x:c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 t="str">
        <x:v>PIPELINE_ASSESSMENT_WORKBOOK_V1</x:v>
      </x:c>
      <x:c r="B161" s="2" t="str">
        <x:v>assessment_notes</x:v>
      </x:c>
      <x:c r="C161" s="2" t="str">
        <x:v>Assessment notes</x:v>
      </x:c>
      <x:c r="D161" s="2" t="str">
        <x:v>provenance_qc</x:v>
      </x:c>
      <x:c r="E161" s="2" t="str">
        <x:v>string</x:v>
      </x:c>
      <x:c r="F161" s="59" t="b">
        <x:v>0</x:v>
      </x:c>
      <x:c r="G161" s="2" t="str">
        <x:v>Review</x:v>
      </x:c>
      <x:c r="H161" s="2" t="str">
        <x:v>C11</x:v>
      </x:c>
      <x:c r="I161" s="2" t="str">
        <x:f>IF('Review'!C11="","",'Review'!C11)</x:f>
      </x:c>
      <x:c r="J161" s="2" t="n">
        <x:f>IF(LEN(I161)&gt;0,1,0)</x:f>
        <x:v>0</x:v>
      </x:c>
      <x:c r="K161" s="2" t="n">
        <x:f>IF(AND(F161=TRUE,LEN(I161)&gt;0),1,0)</x:f>
        <x:v>0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 t="str">
        <x:v>PIPELINE_ASSESSMENT_WORKBOOK_V1</x:v>
      </x:c>
      <x:c r="B162" s="2" t="str">
        <x:v>extraction_date</x:v>
      </x:c>
      <x:c r="C162" s="2" t="str">
        <x:v>Extraction date</x:v>
      </x:c>
      <x:c r="D162" s="2" t="str">
        <x:v>provenance_qc</x:v>
      </x:c>
      <x:c r="E162" s="2" t="str">
        <x:v>timestamp</x:v>
      </x:c>
      <x:c r="F162" s="59" t="b">
        <x:v>0</x:v>
      </x:c>
      <x:c r="G162" s="2" t="str">
        <x:v>Review</x:v>
      </x:c>
      <x:c r="H162" s="2" t="str">
        <x:v>C12</x:v>
      </x:c>
      <x:c r="I162" s="2" t="str">
        <x:f>IF('Review'!C12="","",'Review'!C12)</x:f>
      </x:c>
      <x:c r="J162" s="2" t="n">
        <x:f>IF(LEN(I162)&gt;0,1,0)</x:f>
        <x:v>0</x:v>
      </x:c>
      <x:c r="K162" s="2" t="n">
        <x:f>IF(AND(F162=TRUE,LEN(I162)&gt;0),1,0)</x:f>
        <x:v>0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 t="str">
        <x:v>PIPELINE_ASSESSMENT_WORKBOOK_V1</x:v>
      </x:c>
      <x:c r="B163" s="2" t="str">
        <x:v>im_injections_details</x:v>
      </x:c>
      <x:c r="C163" s="2" t="str">
        <x:v>Injection details</x:v>
      </x:c>
      <x:c r="D163" s="2" t="str">
        <x:v>medication</x:v>
      </x:c>
      <x:c r="E163" s="2" t="str">
        <x:v>string</x:v>
      </x:c>
      <x:c r="F163" s="59" t="b">
        <x:v>0</x:v>
      </x:c>
      <x:c r="G163" s="2" t="str">
        <x:v>Medication</x:v>
      </x:c>
      <x:c r="H163" s="2" t="str">
        <x:v>C14</x:v>
      </x:c>
      <x:c r="I163" s="2" t="str">
        <x:f>IF('Medication'!C14="","",'Medication'!C14)</x:f>
      </x:c>
      <x:c r="J163" s="2" t="n">
        <x:f>IF(LEN(I163)&gt;0,1,0)</x:f>
        <x:v>0</x:v>
      </x:c>
      <x:c r="K163" s="2" t="n">
        <x:f>IF(AND(F163=TRUE,LEN(I163)&gt;0),1,0)</x:f>
        <x:v>0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 t="str">
        <x:v>PIPELINE_ASSESSMENT_WORKBOOK_V1</x:v>
      </x:c>
      <x:c r="B164" s="2" t="str">
        <x:v>longest_sobriety_period</x:v>
      </x:c>
      <x:c r="C164" s="2" t="str">
        <x:v>Longest sobriety period</x:v>
      </x:c>
      <x:c r="D164" s="2" t="str">
        <x:v>substance_use</x:v>
      </x:c>
      <x:c r="E164" s="2" t="str">
        <x:v>string</x:v>
      </x:c>
      <x:c r="F164" s="59" t="b">
        <x:v>0</x:v>
      </x:c>
      <x:c r="G164" s="2" t="str">
        <x:v>Substance Use</x:v>
      </x:c>
      <x:c r="H164" s="2" t="str">
        <x:v>C16</x:v>
      </x:c>
      <x:c r="I164" s="2" t="str">
        <x:f>IF('Substance Use'!C16="","",'Substance Use'!C16)</x:f>
      </x:c>
      <x:c r="J164" s="2" t="n">
        <x:f>IF(LEN(I164)&gt;0,1,0)</x:f>
        <x:v>0</x:v>
      </x:c>
      <x:c r="K164" s="2" t="n">
        <x:f>IF(AND(F164=TRUE,LEN(I164)&gt;0),1,0)</x:f>
        <x:v>0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K2"/>
    <x:mergeCell ref="A3:K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  <x:col min="8" max="8" width="52" hidden="0" customWidth="1"/>
  </x:cols>
  <x:sheetData>
    <x:row r="1">
      <x:c r="A1" s="6" t="str">
        <x:v>Assessment Codebook</x:v>
      </x:c>
      <x:c r="B1" s="6"/>
      <x:c r="C1" s="6"/>
      <x:c r="D1" s="6"/>
      <x:c r="E1" s="6"/>
      <x:c r="F1" s="6"/>
      <x:c r="G1" s="6"/>
      <x:c r="H1" s="6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46" t="str">
        <x:v>Field key</x:v>
      </x:c>
      <x:c r="B4" s="46" t="str">
        <x:v>Label</x:v>
      </x:c>
      <x:c r="C4" s="46" t="str">
        <x:v>Section</x:v>
      </x:c>
      <x:c r="D4" s="46" t="str">
        <x:v>Type</x:v>
      </x:c>
      <x:c r="E4" s="46" t="str">
        <x:v>Required</x:v>
      </x:c>
      <x:c r="F4" s="46" t="str">
        <x:v>Control</x:v>
      </x:c>
      <x:c r="G4" s="46" t="str">
        <x:v>Allowed values</x:v>
      </x:c>
      <x:c r="H4" s="46" t="str">
        <x:v>Conditional behavior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68" t="str">
        <x:v>resident_number</x:v>
      </x:c>
      <x:c r="B5" s="68" t="str">
        <x:v>Resident number</x:v>
      </x:c>
      <x:c r="C5" s="68" t="str">
        <x:v>identity</x:v>
      </x:c>
      <x:c r="D5" s="68" t="str">
        <x:v>string</x:v>
      </x:c>
      <x:c r="E5" s="69" t="b">
        <x:v>0</x:v>
      </x:c>
      <x:c r="F5" s="68" t="str">
        <x:v>text</x:v>
      </x:c>
      <x:c r="G5" s="68" t="str"/>
      <x:c r="H5" s="68" t="str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8" t="str">
        <x:v>resident_name</x:v>
      </x:c>
      <x:c r="B6" s="68" t="str">
        <x:v>Resident name</x:v>
      </x:c>
      <x:c r="C6" s="68" t="str">
        <x:v>identity</x:v>
      </x:c>
      <x:c r="D6" s="68" t="str">
        <x:v>string</x:v>
      </x:c>
      <x:c r="E6" s="69" t="b">
        <x:v>1</x:v>
      </x:c>
      <x:c r="F6" s="68" t="str">
        <x:v>text</x:v>
      </x:c>
      <x:c r="G6" s="68" t="str"/>
      <x:c r="H6" s="68" t="str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8" t="str">
        <x:v>date_of_birth</x:v>
      </x:c>
      <x:c r="B7" s="68" t="str">
        <x:v>Date of birth</x:v>
      </x:c>
      <x:c r="C7" s="68" t="str">
        <x:v>identity</x:v>
      </x:c>
      <x:c r="D7" s="68" t="str">
        <x:v>date</x:v>
      </x:c>
      <x:c r="E7" s="69" t="b">
        <x:v>1</x:v>
      </x:c>
      <x:c r="F7" s="68" t="str">
        <x:v>date</x:v>
      </x:c>
      <x:c r="G7" s="68" t="str"/>
      <x:c r="H7" s="68" t="str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8" t="str">
        <x:v>community</x:v>
      </x:c>
      <x:c r="B8" s="68" t="str">
        <x:v>Community</x:v>
      </x:c>
      <x:c r="C8" s="68" t="str">
        <x:v>identity</x:v>
      </x:c>
      <x:c r="D8" s="68" t="str">
        <x:v>string</x:v>
      </x:c>
      <x:c r="E8" s="69" t="b">
        <x:v>1</x:v>
      </x:c>
      <x:c r="F8" s="68" t="str">
        <x:v>text</x:v>
      </x:c>
      <x:c r="G8" s="68" t="str"/>
      <x:c r="H8" s="68" t="str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8" t="str">
        <x:v>assessment_date</x:v>
      </x:c>
      <x:c r="B9" s="68" t="str">
        <x:v>Assessment date</x:v>
      </x:c>
      <x:c r="C9" s="68" t="str">
        <x:v>identity</x:v>
      </x:c>
      <x:c r="D9" s="68" t="str">
        <x:v>date</x:v>
      </x:c>
      <x:c r="E9" s="69" t="b">
        <x:v>1</x:v>
      </x:c>
      <x:c r="F9" s="68" t="str">
        <x:v>date</x:v>
      </x:c>
      <x:c r="G9" s="68" t="str"/>
      <x:c r="H9" s="68" t="str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8" t="str">
        <x:v>assessor</x:v>
      </x:c>
      <x:c r="B10" s="68" t="str">
        <x:v>Assessor</x:v>
      </x:c>
      <x:c r="C10" s="68" t="str">
        <x:v>identity</x:v>
      </x:c>
      <x:c r="D10" s="68" t="str">
        <x:v>string</x:v>
      </x:c>
      <x:c r="E10" s="69" t="b">
        <x:v>1</x:v>
      </x:c>
      <x:c r="F10" s="68" t="str"/>
      <x:c r="G10" s="68" t="str"/>
      <x:c r="H10" s="68" t="str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8" t="str">
        <x:v>referral_received_date</x:v>
      </x:c>
      <x:c r="B11" s="68" t="str">
        <x:v>Date referral received</x:v>
      </x:c>
      <x:c r="C11" s="68" t="str">
        <x:v>identity</x:v>
      </x:c>
      <x:c r="D11" s="68" t="str">
        <x:v>date</x:v>
      </x:c>
      <x:c r="E11" s="69" t="b">
        <x:v>1</x:v>
      </x:c>
      <x:c r="F11" s="68" t="str">
        <x:v>date</x:v>
      </x:c>
      <x:c r="G11" s="68" t="str"/>
      <x:c r="H11" s="68" t="str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8" t="str">
        <x:v>referrer_name</x:v>
      </x:c>
      <x:c r="B12" s="68" t="str">
        <x:v>Referrer</x:v>
      </x:c>
      <x:c r="C12" s="68" t="str">
        <x:v>identity</x:v>
      </x:c>
      <x:c r="D12" s="68" t="str">
        <x:v>string</x:v>
      </x:c>
      <x:c r="E12" s="69" t="b">
        <x:v>1</x:v>
      </x:c>
      <x:c r="F12" s="68" t="str">
        <x:v>text</x:v>
      </x:c>
      <x:c r="G12" s="68" t="str"/>
      <x:c r="H12" s="68" t="str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8" t="str">
        <x:v>referrer_contact</x:v>
      </x:c>
      <x:c r="B13" s="68" t="str">
        <x:v>Referrer contact</x:v>
      </x:c>
      <x:c r="C13" s="68" t="str">
        <x:v>identity</x:v>
      </x:c>
      <x:c r="D13" s="68" t="str">
        <x:v>string</x:v>
      </x:c>
      <x:c r="E13" s="69" t="b">
        <x:v>1</x:v>
      </x:c>
      <x:c r="F13" s="68" t="str">
        <x:v>text</x:v>
      </x:c>
      <x:c r="G13" s="68" t="str"/>
      <x:c r="H13" s="68" t="str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8" t="str">
        <x:v>current_location</x:v>
      </x:c>
      <x:c r="B14" s="68" t="str">
        <x:v>Current location</x:v>
      </x:c>
      <x:c r="C14" s="68" t="str">
        <x:v>identity</x:v>
      </x:c>
      <x:c r="D14" s="68" t="str">
        <x:v>string</x:v>
      </x:c>
      <x:c r="E14" s="69" t="b">
        <x:v>1</x:v>
      </x:c>
      <x:c r="F14" s="68" t="str">
        <x:v>text</x:v>
      </x:c>
      <x:c r="G14" s="68" t="str"/>
      <x:c r="H14" s="68" t="str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8" t="str">
        <x:v>time_at_current_location</x:v>
      </x:c>
      <x:c r="B15" s="68" t="str">
        <x:v>Time at current location</x:v>
      </x:c>
      <x:c r="C15" s="68" t="str">
        <x:v>identity</x:v>
      </x:c>
      <x:c r="D15" s="68" t="str">
        <x:v>string</x:v>
      </x:c>
      <x:c r="E15" s="69" t="b">
        <x:v>0</x:v>
      </x:c>
      <x:c r="F15" s="68" t="str">
        <x:v>text</x:v>
      </x:c>
      <x:c r="G15" s="68" t="str"/>
      <x:c r="H15" s="68" t="str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8" t="str">
        <x:v>referring_facility</x:v>
      </x:c>
      <x:c r="B16" s="68" t="str">
        <x:v>Referring facility</x:v>
      </x:c>
      <x:c r="C16" s="68" t="str">
        <x:v>prior_placement</x:v>
      </x:c>
      <x:c r="D16" s="68" t="str">
        <x:v>string</x:v>
      </x:c>
      <x:c r="E16" s="69" t="b">
        <x:v>0</x:v>
      </x:c>
      <x:c r="F16" s="68" t="str">
        <x:v>text</x:v>
      </x:c>
      <x:c r="G16" s="68" t="str"/>
      <x:c r="H16" s="68" t="str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8" t="str">
        <x:v>prior_setting_bucket</x:v>
      </x:c>
      <x:c r="B17" s="68" t="str">
        <x:v>Prior setting</x:v>
      </x:c>
      <x:c r="C17" s="68" t="str">
        <x:v>prior_placement</x:v>
      </x:c>
      <x:c r="D17" s="68" t="str">
        <x:v>string</x:v>
      </x:c>
      <x:c r="E17" s="69" t="b">
        <x:v>0</x:v>
      </x:c>
      <x:c r="F17" s="68" t="str">
        <x:v>text</x:v>
      </x:c>
      <x:c r="G17" s="68" t="str"/>
      <x:c r="H17" s="68" t="str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8" t="str">
        <x:v>county</x:v>
      </x:c>
      <x:c r="B18" s="68" t="str">
        <x:v>County</x:v>
      </x:c>
      <x:c r="C18" s="68" t="str">
        <x:v>prior_placement</x:v>
      </x:c>
      <x:c r="D18" s="68" t="str">
        <x:v>string</x:v>
      </x:c>
      <x:c r="E18" s="69" t="b">
        <x:v>0</x:v>
      </x:c>
      <x:c r="F18" s="68" t="str">
        <x:v>text</x:v>
      </x:c>
      <x:c r="G18" s="68" t="str"/>
      <x:c r="H18" s="68" t="str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8" t="str">
        <x:v>admit_date</x:v>
      </x:c>
      <x:c r="B19" s="68" t="str">
        <x:v>Admit date</x:v>
      </x:c>
      <x:c r="C19" s="68" t="str">
        <x:v>prior_placement</x:v>
      </x:c>
      <x:c r="D19" s="68" t="str">
        <x:v>date</x:v>
      </x:c>
      <x:c r="E19" s="69" t="b">
        <x:v>0</x:v>
      </x:c>
      <x:c r="F19" s="68" t="str">
        <x:v>date</x:v>
      </x:c>
      <x:c r="G19" s="68" t="str"/>
      <x:c r="H19" s="68" t="str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8" t="str">
        <x:v>prior_hospitalizations_count</x:v>
      </x:c>
      <x:c r="B20" s="68" t="str">
        <x:v>Prior hospitalizations</x:v>
      </x:c>
      <x:c r="C20" s="68" t="str">
        <x:v>prior_history</x:v>
      </x:c>
      <x:c r="D20" s="68" t="str">
        <x:v>integer</x:v>
      </x:c>
      <x:c r="E20" s="69" t="b">
        <x:v>1</x:v>
      </x:c>
      <x:c r="F20" s="68" t="str">
        <x:v>number</x:v>
      </x:c>
      <x:c r="G20" s="68" t="str"/>
      <x:c r="H20" s="68" t="str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8" t="str">
        <x:v>most_recent_hospitalization</x:v>
      </x:c>
      <x:c r="B21" s="68" t="str">
        <x:v>Most recent hospitalization</x:v>
      </x:c>
      <x:c r="C21" s="68" t="str">
        <x:v>prior_history</x:v>
      </x:c>
      <x:c r="D21" s="68" t="str">
        <x:v>date</x:v>
      </x:c>
      <x:c r="E21" s="69" t="b">
        <x:v>0</x:v>
      </x:c>
      <x:c r="F21" s="68" t="str">
        <x:v>date</x:v>
      </x:c>
      <x:c r="G21" s="68" t="str"/>
      <x:c r="H21" s="68" t="str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8" t="str">
        <x:v>prior_5150_5250_holds</x:v>
      </x:c>
      <x:c r="B22" s="68" t="str">
        <x:v>Prior 5150 / 5250 holds</x:v>
      </x:c>
      <x:c r="C22" s="68" t="str">
        <x:v>prior_history</x:v>
      </x:c>
      <x:c r="D22" s="68" t="str">
        <x:v>string</x:v>
      </x:c>
      <x:c r="E22" s="69" t="b">
        <x:v>0</x:v>
      </x:c>
      <x:c r="F22" s="68" t="str">
        <x:v>textarea</x:v>
      </x:c>
      <x:c r="G22" s="68" t="str"/>
      <x:c r="H22" s="68" t="str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8" t="str">
        <x:v>prior_placements</x:v>
      </x:c>
      <x:c r="B23" s="68" t="str">
        <x:v>Prior placements</x:v>
      </x:c>
      <x:c r="C23" s="68" t="str">
        <x:v>prior_history</x:v>
      </x:c>
      <x:c r="D23" s="68" t="str">
        <x:v>string</x:v>
      </x:c>
      <x:c r="E23" s="69" t="b">
        <x:v>0</x:v>
      </x:c>
      <x:c r="F23" s="68" t="str">
        <x:v>textarea</x:v>
      </x:c>
      <x:c r="G23" s="68" t="str"/>
      <x:c r="H23" s="68" t="str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8" t="str">
        <x:v>crisis_er_utilization</x:v>
      </x:c>
      <x:c r="B24" s="68" t="str">
        <x:v>Crisis / ER utilization</x:v>
      </x:c>
      <x:c r="C24" s="68" t="str">
        <x:v>prior_history</x:v>
      </x:c>
      <x:c r="D24" s="68" t="str">
        <x:v>string</x:v>
      </x:c>
      <x:c r="E24" s="69" t="b">
        <x:v>0</x:v>
      </x:c>
      <x:c r="F24" s="68" t="str">
        <x:v>textarea</x:v>
      </x:c>
      <x:c r="G24" s="68" t="str"/>
      <x:c r="H24" s="68" t="str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8" t="str">
        <x:v>prior_awol_failed_placements</x:v>
      </x:c>
      <x:c r="B25" s="68" t="str">
        <x:v>Prior AWOL / failed placements</x:v>
      </x:c>
      <x:c r="C25" s="68" t="str">
        <x:v>prior_history</x:v>
      </x:c>
      <x:c r="D25" s="68" t="str">
        <x:v>string</x:v>
      </x:c>
      <x:c r="E25" s="69" t="b">
        <x:v>0</x:v>
      </x:c>
      <x:c r="F25" s="68" t="str">
        <x:v>textarea</x:v>
      </x:c>
      <x:c r="G25" s="68" t="str"/>
      <x:c r="H25" s="68" t="str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8" t="str">
        <x:v>primary_diagnosis</x:v>
      </x:c>
      <x:c r="B26" s="68" t="str">
        <x:v>Primary diagnosis</x:v>
      </x:c>
      <x:c r="C26" s="68" t="str">
        <x:v>diagnosis_clinical</x:v>
      </x:c>
      <x:c r="D26" s="68" t="str">
        <x:v>string</x:v>
      </x:c>
      <x:c r="E26" s="69" t="b">
        <x:v>0</x:v>
      </x:c>
      <x:c r="F26" s="68" t="str">
        <x:v>text</x:v>
      </x:c>
      <x:c r="G26" s="68" t="str"/>
      <x:c r="H26" s="68" t="str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8" t="str">
        <x:v>secondary_diagnoses</x:v>
      </x:c>
      <x:c r="B27" s="68" t="str">
        <x:v>Secondary diagnoses</x:v>
      </x:c>
      <x:c r="C27" s="68" t="str">
        <x:v>diagnosis_clinical</x:v>
      </x:c>
      <x:c r="D27" s="68" t="str">
        <x:v>string_list</x:v>
      </x:c>
      <x:c r="E27" s="69" t="b">
        <x:v>0</x:v>
      </x:c>
      <x:c r="F27" s="68" t="str">
        <x:v>textarea</x:v>
      </x:c>
      <x:c r="G27" s="68" t="str"/>
      <x:c r="H27" s="68" t="str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8" t="str">
        <x:v>diagnosis_categories</x:v>
      </x:c>
      <x:c r="B28" s="68" t="str">
        <x:v>Diagnosis categories</x:v>
      </x:c>
      <x:c r="C28" s="68" t="str">
        <x:v>diagnosis_clinical</x:v>
      </x:c>
      <x:c r="D28" s="68" t="str">
        <x:v>string_list</x:v>
      </x:c>
      <x:c r="E28" s="69" t="b">
        <x:v>1</x:v>
      </x:c>
      <x:c r="F28" s="68" t="str">
        <x:v>multi_select</x:v>
      </x:c>
      <x:c r="G28" s="68" t="str">
        <x:v>schizophrenia = Schizophrenia; schizoaffective = Schizoaffective disorder; bipolar = Bipolar disorder; personality_disorder = Personality disorder; substance_use_disorder = Substance use disorder; psychosis = Psychosis; delusional_disorder = Delusional disorder; physical_health = Physical health condition; other = Other</x:v>
      </x:c>
      <x:c r="H28" s="68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8" t="str">
        <x:v>diagnosis_other_detail</x:v>
      </x:c>
      <x:c r="B29" s="68" t="str">
        <x:v>Other diagnosis</x:v>
      </x:c>
      <x:c r="C29" s="68" t="str">
        <x:v>diagnosis_clinical</x:v>
      </x:c>
      <x:c r="D29" s="68" t="str">
        <x:v>string</x:v>
      </x:c>
      <x:c r="E29" s="69" t="b">
        <x:v>0</x:v>
      </x:c>
      <x:c r="F29" s="68" t="str">
        <x:v>text</x:v>
      </x:c>
      <x:c r="G29" s="68" t="str"/>
      <x:c r="H29" s="68" t="str">
        <x:v>Shown when diagnosis_categories includes other; Required when diagnosis_categories includes other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8" t="str">
        <x:v>current_symptoms</x:v>
      </x:c>
      <x:c r="B30" s="68" t="str">
        <x:v>Current symptoms</x:v>
      </x:c>
      <x:c r="C30" s="68" t="str">
        <x:v>diagnosis_clinical</x:v>
      </x:c>
      <x:c r="D30" s="68" t="str">
        <x:v>string</x:v>
      </x:c>
      <x:c r="E30" s="69" t="b">
        <x:v>1</x:v>
      </x:c>
      <x:c r="F30" s="68" t="str">
        <x:v>textarea</x:v>
      </x:c>
      <x:c r="G30" s="68" t="str"/>
      <x:c r="H30" s="68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8" t="str">
        <x:v>acuity_level</x:v>
      </x:c>
      <x:c r="B31" s="68" t="str">
        <x:v>Acuity level</x:v>
      </x:c>
      <x:c r="C31" s="68" t="str">
        <x:v>diagnosis_clinical</x:v>
      </x:c>
      <x:c r="D31" s="68" t="str">
        <x:v>string</x:v>
      </x:c>
      <x:c r="E31" s="69" t="b">
        <x:v>0</x:v>
      </x:c>
      <x:c r="F31" s="68" t="str">
        <x:v>text</x:v>
      </x:c>
      <x:c r="G31" s="68" t="str"/>
      <x:c r="H31" s="68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8" t="str">
        <x:v>cognition_orientation</x:v>
      </x:c>
      <x:c r="B32" s="68" t="str">
        <x:v>Cognition / orientation</x:v>
      </x:c>
      <x:c r="C32" s="68" t="str">
        <x:v>diagnosis_clinical</x:v>
      </x:c>
      <x:c r="D32" s="68" t="str">
        <x:v>string</x:v>
      </x:c>
      <x:c r="E32" s="69" t="b">
        <x:v>0</x:v>
      </x:c>
      <x:c r="F32" s="68" t="str">
        <x:v>textarea</x:v>
      </x:c>
      <x:c r="G32" s="68" t="str"/>
      <x:c r="H32" s="68" t="str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8" t="str">
        <x:v>adl_needs</x:v>
      </x:c>
      <x:c r="B33" s="68" t="str">
        <x:v>ADL needs</x:v>
      </x:c>
      <x:c r="C33" s="68" t="str">
        <x:v>functional_adl</x:v>
      </x:c>
      <x:c r="D33" s="68" t="str">
        <x:v>string</x:v>
      </x:c>
      <x:c r="E33" s="69" t="b">
        <x:v>0</x:v>
      </x:c>
      <x:c r="F33" s="68" t="str">
        <x:v>textarea</x:v>
      </x:c>
      <x:c r="G33" s="68" t="str"/>
      <x:c r="H33" s="68" t="str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8" t="str">
        <x:v>prompting_level</x:v>
      </x:c>
      <x:c r="B34" s="68" t="str">
        <x:v>Prompting level</x:v>
      </x:c>
      <x:c r="C34" s="68" t="str">
        <x:v>functional_adl</x:v>
      </x:c>
      <x:c r="D34" s="68" t="str">
        <x:v>string</x:v>
      </x:c>
      <x:c r="E34" s="69" t="b">
        <x:v>0</x:v>
      </x:c>
      <x:c r="F34" s="68" t="str">
        <x:v>text</x:v>
      </x:c>
      <x:c r="G34" s="68" t="str"/>
      <x:c r="H34" s="68" t="str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8" t="str">
        <x:v>mobility</x:v>
      </x:c>
      <x:c r="B35" s="68" t="str">
        <x:v>Mobility</x:v>
      </x:c>
      <x:c r="C35" s="68" t="str">
        <x:v>functional_adl</x:v>
      </x:c>
      <x:c r="D35" s="68" t="str">
        <x:v>string</x:v>
      </x:c>
      <x:c r="E35" s="69" t="b">
        <x:v>0</x:v>
      </x:c>
      <x:c r="F35" s="68" t="str">
        <x:v>textarea</x:v>
      </x:c>
      <x:c r="G35" s="68" t="str"/>
      <x:c r="H35" s="68" t="str">
        <x:v>Shown when ambulatory equals no; Required when ambulatory equals no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8" t="str">
        <x:v>self_care_status</x:v>
      </x:c>
      <x:c r="B36" s="68" t="str">
        <x:v>Self-care status</x:v>
      </x:c>
      <x:c r="C36" s="68" t="str">
        <x:v>functional_adl</x:v>
      </x:c>
      <x:c r="D36" s="68" t="str">
        <x:v>string</x:v>
      </x:c>
      <x:c r="E36" s="69" t="b">
        <x:v>0</x:v>
      </x:c>
      <x:c r="F36" s="68" t="str">
        <x:v>text</x:v>
      </x:c>
      <x:c r="G36" s="68" t="str"/>
      <x:c r="H36" s="68" t="str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8" t="str">
        <x:v>dress_assistance_level</x:v>
      </x:c>
      <x:c r="B37" s="68" t="str">
        <x:v>Ability to dress</x:v>
      </x:c>
      <x:c r="C37" s="68" t="str">
        <x:v>functional_adl</x:v>
      </x:c>
      <x:c r="D37" s="68" t="str">
        <x:v>string</x:v>
      </x:c>
      <x:c r="E37" s="69" t="b">
        <x:v>1</x:v>
      </x:c>
      <x:c r="F37" s="68" t="str">
        <x:v>select</x:v>
      </x:c>
      <x:c r="G37" s="68" t="str">
        <x:v>independent = Independent; some_assistance = Some assistance; total_assistance = Total assistance</x:v>
      </x:c>
      <x:c r="H37" s="68" t="str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8" t="str">
        <x:v>dress_assistance_details</x:v>
      </x:c>
      <x:c r="B38" s="68" t="str">
        <x:v>Dressing assistance needed</x:v>
      </x:c>
      <x:c r="C38" s="68" t="str">
        <x:v>functional_adl</x:v>
      </x:c>
      <x:c r="D38" s="68" t="str">
        <x:v>string</x:v>
      </x:c>
      <x:c r="E38" s="69" t="b">
        <x:v>0</x:v>
      </x:c>
      <x:c r="F38" s="68" t="str">
        <x:v>textarea</x:v>
      </x:c>
      <x:c r="G38" s="68" t="str"/>
      <x:c r="H38" s="68" t="str">
        <x:v>Shown when dress_assistance_level one_of some_assistance,total_assistance; Required when dress_assistance_level one_of some_assistance,total_assistance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8" t="str">
        <x:v>bathing_assistance_level</x:v>
      </x:c>
      <x:c r="B39" s="68" t="str">
        <x:v>Ability to bathe</x:v>
      </x:c>
      <x:c r="C39" s="68" t="str">
        <x:v>functional_adl</x:v>
      </x:c>
      <x:c r="D39" s="68" t="str">
        <x:v>string</x:v>
      </x:c>
      <x:c r="E39" s="69" t="b">
        <x:v>1</x:v>
      </x:c>
      <x:c r="F39" s="68" t="str">
        <x:v>select</x:v>
      </x:c>
      <x:c r="G39" s="68" t="str">
        <x:v>independent = Independent; some_assistance = Some assistance; total_assistance = Total assistance</x:v>
      </x:c>
      <x:c r="H39" s="68" t="str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8" t="str">
        <x:v>bathing_assistance_details</x:v>
      </x:c>
      <x:c r="B40" s="68" t="str">
        <x:v>Bathing assistance needed</x:v>
      </x:c>
      <x:c r="C40" s="68" t="str">
        <x:v>functional_adl</x:v>
      </x:c>
      <x:c r="D40" s="68" t="str">
        <x:v>string</x:v>
      </x:c>
      <x:c r="E40" s="69" t="b">
        <x:v>0</x:v>
      </x:c>
      <x:c r="F40" s="68" t="str">
        <x:v>textarea</x:v>
      </x:c>
      <x:c r="G40" s="68" t="str"/>
      <x:c r="H40" s="68" t="str">
        <x:v>Shown when bathing_assistance_level one_of some_assistance,total_assistance; Required when bathing_assistance_level one_of some_assistance,total_assistance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8" t="str">
        <x:v>overall_hygiene_rating</x:v>
      </x:c>
      <x:c r="B41" s="68" t="str">
        <x:v>Overall hygiene</x:v>
      </x:c>
      <x:c r="C41" s="68" t="str">
        <x:v>functional_adl</x:v>
      </x:c>
      <x:c r="D41" s="68" t="str">
        <x:v>integer</x:v>
      </x:c>
      <x:c r="E41" s="69" t="b">
        <x:v>1</x:v>
      </x:c>
      <x:c r="F41" s="68" t="str">
        <x:v>rating</x:v>
      </x:c>
      <x:c r="G41" s="68" t="str"/>
      <x:c r="H41" s="68" t="str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8" t="str">
        <x:v>language_barrier</x:v>
      </x:c>
      <x:c r="B42" s="68" t="str">
        <x:v>Language barrier</x:v>
      </x:c>
      <x:c r="C42" s="68" t="str">
        <x:v>functional_adl</x:v>
      </x:c>
      <x:c r="D42" s="68" t="str">
        <x:v>string</x:v>
      </x:c>
      <x:c r="E42" s="69" t="b">
        <x:v>1</x:v>
      </x:c>
      <x:c r="F42" s="68" t="str">
        <x:v>yes_no</x:v>
      </x:c>
      <x:c r="G42" s="68" t="str">
        <x:v>yes = Yes; no = No; unable_to_assess = Unable to assess</x:v>
      </x:c>
      <x:c r="H42" s="68" t="str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8" t="str">
        <x:v>language_barrier_details</x:v>
      </x:c>
      <x:c r="B43" s="68" t="str">
        <x:v>Language support needed</x:v>
      </x:c>
      <x:c r="C43" s="68" t="str">
        <x:v>functional_adl</x:v>
      </x:c>
      <x:c r="D43" s="68" t="str">
        <x:v>string</x:v>
      </x:c>
      <x:c r="E43" s="69" t="b">
        <x:v>0</x:v>
      </x:c>
      <x:c r="F43" s="68" t="str">
        <x:v>textarea</x:v>
      </x:c>
      <x:c r="G43" s="68" t="str"/>
      <x:c r="H43" s="68" t="str">
        <x:v>Shown when language_barrier equals yes; Required when language_barrier equals yes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8" t="str">
        <x:v>linear_conversation</x:v>
      </x:c>
      <x:c r="B44" s="68" t="str">
        <x:v>Can hold a linear conversation</x:v>
      </x:c>
      <x:c r="C44" s="68" t="str">
        <x:v>functional_adl</x:v>
      </x:c>
      <x:c r="D44" s="68" t="str">
        <x:v>string</x:v>
      </x:c>
      <x:c r="E44" s="69" t="b">
        <x:v>1</x:v>
      </x:c>
      <x:c r="F44" s="68" t="str">
        <x:v>yes_no</x:v>
      </x:c>
      <x:c r="G44" s="68" t="str">
        <x:v>yes = Yes; no = No; unable_to_assess = Unable to assess</x:v>
      </x:c>
      <x:c r="H44" s="68" t="str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8" t="str">
        <x:v>linear_conversation_details</x:v>
      </x:c>
      <x:c r="B45" s="68" t="str">
        <x:v>Conversation barriers</x:v>
      </x:c>
      <x:c r="C45" s="68" t="str">
        <x:v>functional_adl</x:v>
      </x:c>
      <x:c r="D45" s="68" t="str">
        <x:v>string</x:v>
      </x:c>
      <x:c r="E45" s="69" t="b">
        <x:v>0</x:v>
      </x:c>
      <x:c r="F45" s="68" t="str">
        <x:v>textarea</x:v>
      </x:c>
      <x:c r="G45" s="68" t="str"/>
      <x:c r="H45" s="68" t="str">
        <x:v>Shown when linear_conversation equals no; Required when linear_conversation equals no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8" t="str">
        <x:v>peer_interaction_rating</x:v>
      </x:c>
      <x:c r="B46" s="68" t="str">
        <x:v>Interaction with peers</x:v>
      </x:c>
      <x:c r="C46" s="68" t="str">
        <x:v>functional_adl</x:v>
      </x:c>
      <x:c r="D46" s="68" t="str">
        <x:v>integer</x:v>
      </x:c>
      <x:c r="E46" s="69" t="b">
        <x:v>1</x:v>
      </x:c>
      <x:c r="F46" s="68" t="str">
        <x:v>rating</x:v>
      </x:c>
      <x:c r="G46" s="68" t="str"/>
      <x:c r="H46" s="68" t="str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8" t="str">
        <x:v>peer_interaction_notes</x:v>
      </x:c>
      <x:c r="B47" s="68" t="str">
        <x:v>Peer interaction notes</x:v>
      </x:c>
      <x:c r="C47" s="68" t="str">
        <x:v>functional_adl</x:v>
      </x:c>
      <x:c r="D47" s="68" t="str">
        <x:v>string</x:v>
      </x:c>
      <x:c r="E47" s="69" t="b">
        <x:v>0</x:v>
      </x:c>
      <x:c r="F47" s="68" t="str">
        <x:v>textarea</x:v>
      </x:c>
      <x:c r="G47" s="68" t="str"/>
      <x:c r="H47" s="68" t="str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8" t="str">
        <x:v>staff_interaction_rating</x:v>
      </x:c>
      <x:c r="B48" s="68" t="str">
        <x:v>Interaction with staff</x:v>
      </x:c>
      <x:c r="C48" s="68" t="str">
        <x:v>functional_adl</x:v>
      </x:c>
      <x:c r="D48" s="68" t="str">
        <x:v>integer</x:v>
      </x:c>
      <x:c r="E48" s="69" t="b">
        <x:v>1</x:v>
      </x:c>
      <x:c r="F48" s="68" t="str">
        <x:v>rating</x:v>
      </x:c>
      <x:c r="G48" s="68" t="str"/>
      <x:c r="H48" s="68" t="str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8" t="str">
        <x:v>staff_interaction_notes</x:v>
      </x:c>
      <x:c r="B49" s="68" t="str">
        <x:v>Staff interaction notes</x:v>
      </x:c>
      <x:c r="C49" s="68" t="str">
        <x:v>functional_adl</x:v>
      </x:c>
      <x:c r="D49" s="68" t="str">
        <x:v>string</x:v>
      </x:c>
      <x:c r="E49" s="69" t="b">
        <x:v>0</x:v>
      </x:c>
      <x:c r="F49" s="68" t="str">
        <x:v>textarea</x:v>
      </x:c>
      <x:c r="G49" s="68" t="str"/>
      <x:c r="H49" s="68" t="str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8" t="str">
        <x:v>participates_in_programming</x:v>
      </x:c>
      <x:c r="B50" s="68" t="str">
        <x:v>Participates in programming</x:v>
      </x:c>
      <x:c r="C50" s="68" t="str">
        <x:v>functional_adl</x:v>
      </x:c>
      <x:c r="D50" s="68" t="str">
        <x:v>string</x:v>
      </x:c>
      <x:c r="E50" s="69" t="b">
        <x:v>1</x:v>
      </x:c>
      <x:c r="F50" s="68" t="str">
        <x:v>yes_no</x:v>
      </x:c>
      <x:c r="G50" s="68" t="str">
        <x:v>yes = Yes; no = No; unable_to_assess = Unable to assess</x:v>
      </x:c>
      <x:c r="H50" s="68" t="str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8" t="str">
        <x:v>programming_notes</x:v>
      </x:c>
      <x:c r="B51" s="68" t="str">
        <x:v>Programming notes</x:v>
      </x:c>
      <x:c r="C51" s="68" t="str">
        <x:v>functional_adl</x:v>
      </x:c>
      <x:c r="D51" s="68" t="str">
        <x:v>string</x:v>
      </x:c>
      <x:c r="E51" s="69" t="b">
        <x:v>0</x:v>
      </x:c>
      <x:c r="F51" s="68" t="str">
        <x:v>textarea</x:v>
      </x:c>
      <x:c r="G51" s="68" t="str"/>
      <x:c r="H51" s="68" t="str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8" t="str">
        <x:v>ambulatory</x:v>
      </x:c>
      <x:c r="B52" s="68" t="str">
        <x:v>Ambulatory</x:v>
      </x:c>
      <x:c r="C52" s="68" t="str">
        <x:v>functional_adl</x:v>
      </x:c>
      <x:c r="D52" s="68" t="str">
        <x:v>string</x:v>
      </x:c>
      <x:c r="E52" s="69" t="b">
        <x:v>1</x:v>
      </x:c>
      <x:c r="F52" s="68" t="str">
        <x:v>yes_no</x:v>
      </x:c>
      <x:c r="G52" s="68" t="str">
        <x:v>yes = Yes; no = No; unable_to_assess = Unable to assess</x:v>
      </x:c>
      <x:c r="H52" s="68" t="str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8" t="str">
        <x:v>behavioral_history</x:v>
      </x:c>
      <x:c r="B53" s="68" t="str">
        <x:v>Behavioral history</x:v>
      </x:c>
      <x:c r="C53" s="68" t="str">
        <x:v>behavioral_risk</x:v>
      </x:c>
      <x:c r="D53" s="68" t="str">
        <x:v>string</x:v>
      </x:c>
      <x:c r="E53" s="69" t="b">
        <x:v>0</x:v>
      </x:c>
      <x:c r="F53" s="68" t="str">
        <x:v>textarea</x:v>
      </x:c>
      <x:c r="G53" s="68" t="str"/>
      <x:c r="H53" s="68" t="str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8" t="str">
        <x:v>triggers</x:v>
      </x:c>
      <x:c r="B54" s="68" t="str">
        <x:v>Triggers</x:v>
      </x:c>
      <x:c r="C54" s="68" t="str">
        <x:v>behavioral_risk</x:v>
      </x:c>
      <x:c r="D54" s="68" t="str">
        <x:v>string</x:v>
      </x:c>
      <x:c r="E54" s="69" t="b">
        <x:v>0</x:v>
      </x:c>
      <x:c r="F54" s="68" t="str">
        <x:v>textarea</x:v>
      </x:c>
      <x:c r="G54" s="68" t="str"/>
      <x:c r="H54" s="68" t="str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8" t="str">
        <x:v>si_hi_history</x:v>
      </x:c>
      <x:c r="B55" s="68" t="str">
        <x:v>SI / HI history</x:v>
      </x:c>
      <x:c r="C55" s="68" t="str">
        <x:v>behavioral_risk</x:v>
      </x:c>
      <x:c r="D55" s="68" t="str">
        <x:v>string</x:v>
      </x:c>
      <x:c r="E55" s="69" t="b">
        <x:v>0</x:v>
      </x:c>
      <x:c r="F55" s="68" t="str">
        <x:v>textarea</x:v>
      </x:c>
      <x:c r="G55" s="68" t="str"/>
      <x:c r="H55" s="68" t="str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8" t="str">
        <x:v>elopement_risk</x:v>
      </x:c>
      <x:c r="B56" s="68" t="str">
        <x:v>Elopement risk</x:v>
      </x:c>
      <x:c r="C56" s="68" t="str">
        <x:v>behavioral_risk</x:v>
      </x:c>
      <x:c r="D56" s="68" t="str">
        <x:v>string</x:v>
      </x:c>
      <x:c r="E56" s="69" t="b">
        <x:v>0</x:v>
      </x:c>
      <x:c r="F56" s="68" t="str">
        <x:v>textarea</x:v>
      </x:c>
      <x:c r="G56" s="68" t="str"/>
      <x:c r="H56" s="68" t="str">
        <x:v>Shown when elopement_history equals yes; Required when elopement_history equals yes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8" t="str">
        <x:v>aggression_risk</x:v>
      </x:c>
      <x:c r="B57" s="68" t="str">
        <x:v>Aggression risk</x:v>
      </x:c>
      <x:c r="C57" s="68" t="str">
        <x:v>behavioral_risk</x:v>
      </x:c>
      <x:c r="D57" s="68" t="str">
        <x:v>string</x:v>
      </x:c>
      <x:c r="E57" s="69" t="b">
        <x:v>0</x:v>
      </x:c>
      <x:c r="F57" s="68" t="str">
        <x:v>textarea</x:v>
      </x:c>
      <x:c r="G57" s="68" t="str"/>
      <x:c r="H57" s="68" t="str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8" t="str">
        <x:v>responds_to_internal_stimuli</x:v>
      </x:c>
      <x:c r="B58" s="68" t="str">
        <x:v>Responds to internal stimuli</x:v>
      </x:c>
      <x:c r="C58" s="68" t="str">
        <x:v>behavioral_risk</x:v>
      </x:c>
      <x:c r="D58" s="68" t="str">
        <x:v>string</x:v>
      </x:c>
      <x:c r="E58" s="69" t="b">
        <x:v>0</x:v>
      </x:c>
      <x:c r="F58" s="68" t="str">
        <x:v>text</x:v>
      </x:c>
      <x:c r="G58" s="68" t="str"/>
      <x:c r="H58" s="68" t="str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8" t="str">
        <x:v>physical_altercations</x:v>
      </x:c>
      <x:c r="B59" s="68" t="str">
        <x:v>Physical altercations</x:v>
      </x:c>
      <x:c r="C59" s="68" t="str">
        <x:v>behavioral_risk</x:v>
      </x:c>
      <x:c r="D59" s="68" t="str">
        <x:v>string</x:v>
      </x:c>
      <x:c r="E59" s="69" t="b">
        <x:v>1</x:v>
      </x:c>
      <x:c r="F59" s="68" t="str">
        <x:v>yes_no</x:v>
      </x:c>
      <x:c r="G59" s="68" t="str">
        <x:v>yes = Yes; no = No; unable_to_assess = Unable to assess</x:v>
      </x:c>
      <x:c r="H59" s="68" t="str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8" t="str">
        <x:v>physical_altercation_details</x:v>
      </x:c>
      <x:c r="B60" s="68" t="str">
        <x:v>Physical altercation details</x:v>
      </x:c>
      <x:c r="C60" s="68" t="str">
        <x:v>behavioral_risk</x:v>
      </x:c>
      <x:c r="D60" s="68" t="str">
        <x:v>string</x:v>
      </x:c>
      <x:c r="E60" s="69" t="b">
        <x:v>0</x:v>
      </x:c>
      <x:c r="F60" s="68" t="str">
        <x:v>textarea</x:v>
      </x:c>
      <x:c r="G60" s="68" t="str"/>
      <x:c r="H60" s="68" t="str">
        <x:v>Shown when physical_altercations equals yes; Required when physical_altercations equals yes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8" t="str">
        <x:v>self_harm_history</x:v>
      </x:c>
      <x:c r="B61" s="68" t="str">
        <x:v>History of self-harm</x:v>
      </x:c>
      <x:c r="C61" s="68" t="str">
        <x:v>behavioral_risk</x:v>
      </x:c>
      <x:c r="D61" s="68" t="str">
        <x:v>string</x:v>
      </x:c>
      <x:c r="E61" s="69" t="b">
        <x:v>1</x:v>
      </x:c>
      <x:c r="F61" s="68" t="str">
        <x:v>yes_no</x:v>
      </x:c>
      <x:c r="G61" s="68" t="str">
        <x:v>yes = Yes; no = No; unable_to_assess = Unable to assess</x:v>
      </x:c>
      <x:c r="H61" s="68" t="str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8" t="str">
        <x:v>last_self_harm_incident</x:v>
      </x:c>
      <x:c r="B62" s="68" t="str">
        <x:v>Last documented self-harm incident</x:v>
      </x:c>
      <x:c r="C62" s="68" t="str">
        <x:v>behavioral_risk</x:v>
      </x:c>
      <x:c r="D62" s="68" t="str">
        <x:v>string</x:v>
      </x:c>
      <x:c r="E62" s="69" t="b">
        <x:v>0</x:v>
      </x:c>
      <x:c r="F62" s="68" t="str">
        <x:v>textarea</x:v>
      </x:c>
      <x:c r="G62" s="68" t="str"/>
      <x:c r="H62" s="68" t="str">
        <x:v>Shown when self_harm_history equals yes; Required when self_harm_history equals yes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8" t="str">
        <x:v>current_self_harm_ideation</x:v>
      </x:c>
      <x:c r="B63" s="68" t="str">
        <x:v>Current self-harm ideation</x:v>
      </x:c>
      <x:c r="C63" s="68" t="str">
        <x:v>behavioral_risk</x:v>
      </x:c>
      <x:c r="D63" s="68" t="str">
        <x:v>string</x:v>
      </x:c>
      <x:c r="E63" s="69" t="b">
        <x:v>1</x:v>
      </x:c>
      <x:c r="F63" s="68" t="str">
        <x:v>yes_no</x:v>
      </x:c>
      <x:c r="G63" s="68" t="str">
        <x:v>yes = Yes; no = No; unable_to_assess = Unable to assess</x:v>
      </x:c>
      <x:c r="H63" s="68" t="str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8" t="str">
        <x:v>current_self_harm_details</x:v>
      </x:c>
      <x:c r="B64" s="68" t="str">
        <x:v>Current self-harm ideation details</x:v>
      </x:c>
      <x:c r="C64" s="68" t="str">
        <x:v>behavioral_risk</x:v>
      </x:c>
      <x:c r="D64" s="68" t="str">
        <x:v>string</x:v>
      </x:c>
      <x:c r="E64" s="69" t="b">
        <x:v>0</x:v>
      </x:c>
      <x:c r="F64" s="68" t="str">
        <x:v>textarea</x:v>
      </x:c>
      <x:c r="G64" s="68" t="str"/>
      <x:c r="H64" s="68" t="str">
        <x:v>Shown when current_self_harm_ideation equals yes; Required when current_self_harm_ideation equals yes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8" t="str">
        <x:v>current_safety_measures</x:v>
      </x:c>
      <x:c r="B65" s="68" t="str">
        <x:v>Current safety measures</x:v>
      </x:c>
      <x:c r="C65" s="68" t="str">
        <x:v>behavioral_risk</x:v>
      </x:c>
      <x:c r="D65" s="68" t="str">
        <x:v>string</x:v>
      </x:c>
      <x:c r="E65" s="69" t="b">
        <x:v>0</x:v>
      </x:c>
      <x:c r="F65" s="68" t="str">
        <x:v>textarea</x:v>
      </x:c>
      <x:c r="G65" s="68" t="str"/>
      <x:c r="H65" s="68" t="str">
        <x:v>Shown when current_self_harm_ideation equals yes; Required when current_self_harm_ideation equals yes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8" t="str">
        <x:v>assault_history</x:v>
      </x:c>
      <x:c r="B66" s="68" t="str">
        <x:v>History of assaults</x:v>
      </x:c>
      <x:c r="C66" s="68" t="str">
        <x:v>behavioral_risk</x:v>
      </x:c>
      <x:c r="D66" s="68" t="str">
        <x:v>string</x:v>
      </x:c>
      <x:c r="E66" s="69" t="b">
        <x:v>1</x:v>
      </x:c>
      <x:c r="F66" s="68" t="str">
        <x:v>yes_no</x:v>
      </x:c>
      <x:c r="G66" s="68" t="str">
        <x:v>yes = Yes; no = No; unable_to_assess = Unable to assess</x:v>
      </x:c>
      <x:c r="H66" s="68" t="str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8" t="str">
        <x:v>last_assault_details</x:v>
      </x:c>
      <x:c r="B67" s="68" t="str">
        <x:v>Most recent assault</x:v>
      </x:c>
      <x:c r="C67" s="68" t="str">
        <x:v>behavioral_risk</x:v>
      </x:c>
      <x:c r="D67" s="68" t="str">
        <x:v>string</x:v>
      </x:c>
      <x:c r="E67" s="69" t="b">
        <x:v>0</x:v>
      </x:c>
      <x:c r="F67" s="68" t="str">
        <x:v>textarea</x:v>
      </x:c>
      <x:c r="G67" s="68" t="str"/>
      <x:c r="H67" s="68" t="str">
        <x:v>Shown when assault_history equals yes; Required when assault_history equals yes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8" t="str">
        <x:v>assaults_last_two_years_count</x:v>
      </x:c>
      <x:c r="B68" s="68" t="str">
        <x:v>Assaults in the last two years</x:v>
      </x:c>
      <x:c r="C68" s="68" t="str">
        <x:v>behavioral_risk</x:v>
      </x:c>
      <x:c r="D68" s="68" t="str">
        <x:v>integer</x:v>
      </x:c>
      <x:c r="E68" s="69" t="b">
        <x:v>0</x:v>
      </x:c>
      <x:c r="F68" s="68" t="str">
        <x:v>number</x:v>
      </x:c>
      <x:c r="G68" s="68" t="str"/>
      <x:c r="H68" s="68" t="str">
        <x:v>Shown when assault_history equals yes; Required when assault_history equals yes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8" t="str">
        <x:v>elopement_history</x:v>
      </x:c>
      <x:c r="B69" s="68" t="str">
        <x:v>History of elopement</x:v>
      </x:c>
      <x:c r="C69" s="68" t="str">
        <x:v>behavioral_risk</x:v>
      </x:c>
      <x:c r="D69" s="68" t="str">
        <x:v>string</x:v>
      </x:c>
      <x:c r="E69" s="69" t="b">
        <x:v>1</x:v>
      </x:c>
      <x:c r="F69" s="68" t="str">
        <x:v>yes_no</x:v>
      </x:c>
      <x:c r="G69" s="68" t="str">
        <x:v>yes = Yes; no = No; unable_to_assess = Unable to assess</x:v>
      </x:c>
      <x:c r="H69" s="68" t="str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8" t="str">
        <x:v>auditory_hallucinations</x:v>
      </x:c>
      <x:c r="B70" s="68" t="str">
        <x:v>Auditory hallucinations</x:v>
      </x:c>
      <x:c r="C70" s="68" t="str">
        <x:v>behavioral_risk</x:v>
      </x:c>
      <x:c r="D70" s="68" t="str">
        <x:v>string</x:v>
      </x:c>
      <x:c r="E70" s="69" t="b">
        <x:v>1</x:v>
      </x:c>
      <x:c r="F70" s="68" t="str">
        <x:v>yes_no</x:v>
      </x:c>
      <x:c r="G70" s="68" t="str">
        <x:v>yes = Yes; no = No; unable_to_assess = Unable to assess</x:v>
      </x:c>
      <x:c r="H70" s="68" t="str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8" t="str">
        <x:v>auditory_hallucination_nature</x:v>
      </x:c>
      <x:c r="B71" s="68" t="str">
        <x:v>Nature of auditory hallucinations</x:v>
      </x:c>
      <x:c r="C71" s="68" t="str">
        <x:v>behavioral_risk</x:v>
      </x:c>
      <x:c r="D71" s="68" t="str">
        <x:v>string</x:v>
      </x:c>
      <x:c r="E71" s="69" t="b">
        <x:v>0</x:v>
      </x:c>
      <x:c r="F71" s="68" t="str">
        <x:v>textarea</x:v>
      </x:c>
      <x:c r="G71" s="68" t="str"/>
      <x:c r="H71" s="68" t="str">
        <x:v>Shown when auditory_hallucinations equals yes; Required when auditory_hallucinations equals yes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8" t="str">
        <x:v>auditory_hallucination_frequency</x:v>
      </x:c>
      <x:c r="B72" s="68" t="str">
        <x:v>Current auditory frequency</x:v>
      </x:c>
      <x:c r="C72" s="68" t="str">
        <x:v>behavioral_risk</x:v>
      </x:c>
      <x:c r="D72" s="68" t="str">
        <x:v>string</x:v>
      </x:c>
      <x:c r="E72" s="69" t="b">
        <x:v>0</x:v>
      </x:c>
      <x:c r="F72" s="68" t="str">
        <x:v>text</x:v>
      </x:c>
      <x:c r="G72" s="68" t="str"/>
      <x:c r="H72" s="68" t="str">
        <x:v>Shown when auditory_hallucinations equals yes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8" t="str">
        <x:v>auditory_hallucination_triggers</x:v>
      </x:c>
      <x:c r="B73" s="68" t="str">
        <x:v>Auditory triggers</x:v>
      </x:c>
      <x:c r="C73" s="68" t="str">
        <x:v>behavioral_risk</x:v>
      </x:c>
      <x:c r="D73" s="68" t="str">
        <x:v>string</x:v>
      </x:c>
      <x:c r="E73" s="69" t="b">
        <x:v>0</x:v>
      </x:c>
      <x:c r="F73" s="68" t="str">
        <x:v>textarea</x:v>
      </x:c>
      <x:c r="G73" s="68" t="str"/>
      <x:c r="H73" s="68" t="str">
        <x:v>Shown when auditory_hallucinations equals yes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8" t="str">
        <x:v>visual_hallucinations</x:v>
      </x:c>
      <x:c r="B74" s="68" t="str">
        <x:v>Visual hallucinations</x:v>
      </x:c>
      <x:c r="C74" s="68" t="str">
        <x:v>behavioral_risk</x:v>
      </x:c>
      <x:c r="D74" s="68" t="str">
        <x:v>string</x:v>
      </x:c>
      <x:c r="E74" s="69" t="b">
        <x:v>1</x:v>
      </x:c>
      <x:c r="F74" s="68" t="str">
        <x:v>yes_no</x:v>
      </x:c>
      <x:c r="G74" s="68" t="str">
        <x:v>yes = Yes; no = No; unable_to_assess = Unable to assess</x:v>
      </x:c>
      <x:c r="H74" s="68" t="str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8" t="str">
        <x:v>visual_hallucination_details</x:v>
      </x:c>
      <x:c r="B75" s="68" t="str">
        <x:v>Nature and frequency of visual hallucinations</x:v>
      </x:c>
      <x:c r="C75" s="68" t="str">
        <x:v>behavioral_risk</x:v>
      </x:c>
      <x:c r="D75" s="68" t="str">
        <x:v>string</x:v>
      </x:c>
      <x:c r="E75" s="69" t="b">
        <x:v>0</x:v>
      </x:c>
      <x:c r="F75" s="68" t="str">
        <x:v>textarea</x:v>
      </x:c>
      <x:c r="G75" s="68" t="str"/>
      <x:c r="H75" s="68" t="str">
        <x:v>Shown when visual_hallucinations equals yes; Required when visual_hallucinations equals yes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8" t="str">
        <x:v>visual_hallucination_recent</x:v>
      </x:c>
      <x:c r="B76" s="68" t="str">
        <x:v>Recent visual hallucinations</x:v>
      </x:c>
      <x:c r="C76" s="68" t="str">
        <x:v>behavioral_risk</x:v>
      </x:c>
      <x:c r="D76" s="68" t="str">
        <x:v>string</x:v>
      </x:c>
      <x:c r="E76" s="69" t="b">
        <x:v>0</x:v>
      </x:c>
      <x:c r="F76" s="68" t="str">
        <x:v>textarea</x:v>
      </x:c>
      <x:c r="G76" s="68" t="str"/>
      <x:c r="H76" s="68" t="str">
        <x:v>Shown when visual_hallucinations equals yes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8" t="str">
        <x:v>olfactory_hallucinations</x:v>
      </x:c>
      <x:c r="B77" s="68" t="str">
        <x:v>Olfactory hallucinations</x:v>
      </x:c>
      <x:c r="C77" s="68" t="str">
        <x:v>behavioral_risk</x:v>
      </x:c>
      <x:c r="D77" s="68" t="str">
        <x:v>string</x:v>
      </x:c>
      <x:c r="E77" s="69" t="b">
        <x:v>1</x:v>
      </x:c>
      <x:c r="F77" s="68" t="str">
        <x:v>yes_no</x:v>
      </x:c>
      <x:c r="G77" s="68" t="str">
        <x:v>yes = Yes; no = No; unable_to_assess = Unable to assess</x:v>
      </x:c>
      <x:c r="H77" s="68" t="str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8" t="str">
        <x:v>olfactory_hallucination_details</x:v>
      </x:c>
      <x:c r="B78" s="68" t="str">
        <x:v>Olfactory hallucination details</x:v>
      </x:c>
      <x:c r="C78" s="68" t="str">
        <x:v>behavioral_risk</x:v>
      </x:c>
      <x:c r="D78" s="68" t="str">
        <x:v>string</x:v>
      </x:c>
      <x:c r="E78" s="69" t="b">
        <x:v>0</x:v>
      </x:c>
      <x:c r="F78" s="68" t="str">
        <x:v>textarea</x:v>
      </x:c>
      <x:c r="G78" s="68" t="str"/>
      <x:c r="H78" s="68" t="str">
        <x:v>Shown when olfactory_hallucinations equals yes; Required when olfactory_hallucinations equals yes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8" t="str">
        <x:v>olfactory_hallucination_impact</x:v>
      </x:c>
      <x:c r="B79" s="68" t="str">
        <x:v>Impact of olfactory hallucinations</x:v>
      </x:c>
      <x:c r="C79" s="68" t="str">
        <x:v>behavioral_risk</x:v>
      </x:c>
      <x:c r="D79" s="68" t="str">
        <x:v>string</x:v>
      </x:c>
      <x:c r="E79" s="69" t="b">
        <x:v>0</x:v>
      </x:c>
      <x:c r="F79" s="68" t="str">
        <x:v>textarea</x:v>
      </x:c>
      <x:c r="G79" s="68" t="str"/>
      <x:c r="H79" s="68" t="str">
        <x:v>Shown when olfactory_hallucinations equals yes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8" t="str">
        <x:v>tactile_hallucinations</x:v>
      </x:c>
      <x:c r="B80" s="68" t="str">
        <x:v>Tactile hallucinations</x:v>
      </x:c>
      <x:c r="C80" s="68" t="str">
        <x:v>behavioral_risk</x:v>
      </x:c>
      <x:c r="D80" s="68" t="str">
        <x:v>string</x:v>
      </x:c>
      <x:c r="E80" s="69" t="b">
        <x:v>1</x:v>
      </x:c>
      <x:c r="F80" s="68" t="str">
        <x:v>yes_no</x:v>
      </x:c>
      <x:c r="G80" s="68" t="str">
        <x:v>yes = Yes; no = No; unable_to_assess = Unable to assess</x:v>
      </x:c>
      <x:c r="H80" s="68" t="str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8" t="str">
        <x:v>tactile_hallucination_details</x:v>
      </x:c>
      <x:c r="B81" s="68" t="str">
        <x:v>Tactile hallucination details</x:v>
      </x:c>
      <x:c r="C81" s="68" t="str">
        <x:v>behavioral_risk</x:v>
      </x:c>
      <x:c r="D81" s="68" t="str">
        <x:v>string</x:v>
      </x:c>
      <x:c r="E81" s="69" t="b">
        <x:v>0</x:v>
      </x:c>
      <x:c r="F81" s="68" t="str">
        <x:v>textarea</x:v>
      </x:c>
      <x:c r="G81" s="68" t="str"/>
      <x:c r="H81" s="68" t="str">
        <x:v>Shown when tactile_hallucinations equals yes; Required when tactile_hallucinations equals yes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8" t="str">
        <x:v>tactile_hallucination_frequency</x:v>
      </x:c>
      <x:c r="B82" s="68" t="str">
        <x:v>Tactile hallucination frequency</x:v>
      </x:c>
      <x:c r="C82" s="68" t="str">
        <x:v>behavioral_risk</x:v>
      </x:c>
      <x:c r="D82" s="68" t="str">
        <x:v>string</x:v>
      </x:c>
      <x:c r="E82" s="69" t="b">
        <x:v>0</x:v>
      </x:c>
      <x:c r="F82" s="68" t="str">
        <x:v>text</x:v>
      </x:c>
      <x:c r="G82" s="68" t="str"/>
      <x:c r="H82" s="68" t="str">
        <x:v>Shown when tactile_hallucinations equals yes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8" t="str">
        <x:v>gustatory_hallucinations</x:v>
      </x:c>
      <x:c r="B83" s="68" t="str">
        <x:v>Gustatory hallucinations</x:v>
      </x:c>
      <x:c r="C83" s="68" t="str">
        <x:v>behavioral_risk</x:v>
      </x:c>
      <x:c r="D83" s="68" t="str">
        <x:v>string</x:v>
      </x:c>
      <x:c r="E83" s="69" t="b">
        <x:v>1</x:v>
      </x:c>
      <x:c r="F83" s="68" t="str">
        <x:v>yes_no</x:v>
      </x:c>
      <x:c r="G83" s="68" t="str">
        <x:v>yes = Yes; no = No; unable_to_assess = Unable to assess</x:v>
      </x:c>
      <x:c r="H83" s="68" t="str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8" t="str">
        <x:v>gustatory_hallucination_details</x:v>
      </x:c>
      <x:c r="B84" s="68" t="str">
        <x:v>Gustatory hallucination details</x:v>
      </x:c>
      <x:c r="C84" s="68" t="str">
        <x:v>behavioral_risk</x:v>
      </x:c>
      <x:c r="D84" s="68" t="str">
        <x:v>string</x:v>
      </x:c>
      <x:c r="E84" s="69" t="b">
        <x:v>0</x:v>
      </x:c>
      <x:c r="F84" s="68" t="str">
        <x:v>textarea</x:v>
      </x:c>
      <x:c r="G84" s="68" t="str"/>
      <x:c r="H84" s="68" t="str">
        <x:v>Shown when gustatory_hallucinations equals yes; Required when gustatory_hallucinations equals yes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8" t="str">
        <x:v>hallucination_coping_strategies</x:v>
      </x:c>
      <x:c r="B85" s="68" t="str">
        <x:v>Hallucination coping strategies</x:v>
      </x:c>
      <x:c r="C85" s="68" t="str">
        <x:v>behavioral_risk</x:v>
      </x:c>
      <x:c r="D85" s="68" t="str">
        <x:v>string</x:v>
      </x:c>
      <x:c r="E85" s="69" t="b">
        <x:v>0</x:v>
      </x:c>
      <x:c r="F85" s="68" t="str">
        <x:v>textarea</x:v>
      </x:c>
      <x:c r="G85" s="68" t="str"/>
      <x:c r="H85" s="68" t="str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8" t="str">
        <x:v>hallucination_distress_impairment</x:v>
      </x:c>
      <x:c r="B86" s="68" t="str">
        <x:v>Hallucination distress or impairment</x:v>
      </x:c>
      <x:c r="C86" s="68" t="str">
        <x:v>behavioral_risk</x:v>
      </x:c>
      <x:c r="D86" s="68" t="str">
        <x:v>string</x:v>
      </x:c>
      <x:c r="E86" s="69" t="b">
        <x:v>0</x:v>
      </x:c>
      <x:c r="F86" s="68" t="str">
        <x:v>textarea</x:v>
      </x:c>
      <x:c r="G86" s="68" t="str"/>
      <x:c r="H86" s="68" t="str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8" t="str">
        <x:v>hallucination_functional_impact</x:v>
      </x:c>
      <x:c r="B87" s="68" t="str">
        <x:v>Impact on daily functioning</x:v>
      </x:c>
      <x:c r="C87" s="68" t="str">
        <x:v>behavioral_risk</x:v>
      </x:c>
      <x:c r="D87" s="68" t="str">
        <x:v>string</x:v>
      </x:c>
      <x:c r="E87" s="69" t="b">
        <x:v>0</x:v>
      </x:c>
      <x:c r="F87" s="68" t="str">
        <x:v>textarea</x:v>
      </x:c>
      <x:c r="G87" s="68" t="str"/>
      <x:c r="H87" s="68" t="str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8" t="str">
        <x:v>hallucination_treatment_history</x:v>
      </x:c>
      <x:c r="B88" s="68" t="str">
        <x:v>Professional discussion and treatment</x:v>
      </x:c>
      <x:c r="C88" s="68" t="str">
        <x:v>behavioral_risk</x:v>
      </x:c>
      <x:c r="D88" s="68" t="str">
        <x:v>string</x:v>
      </x:c>
      <x:c r="E88" s="69" t="b">
        <x:v>0</x:v>
      </x:c>
      <x:c r="F88" s="68" t="str">
        <x:v>textarea</x:v>
      </x:c>
      <x:c r="G88" s="68" t="str"/>
      <x:c r="H88" s="68" t="str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8" t="str">
        <x:v>conservatorship_status</x:v>
      </x:c>
      <x:c r="B89" s="68" t="str">
        <x:v>Conservatorship status</x:v>
      </x:c>
      <x:c r="C89" s="68" t="str">
        <x:v>legal_conservatorship</x:v>
      </x:c>
      <x:c r="D89" s="68" t="str">
        <x:v>string</x:v>
      </x:c>
      <x:c r="E89" s="69" t="b">
        <x:v>0</x:v>
      </x:c>
      <x:c r="F89" s="68" t="str">
        <x:v>text</x:v>
      </x:c>
      <x:c r="G89" s="68" t="str"/>
      <x:c r="H89" s="68" t="str">
        <x:v>Shown when conservatorship_type not_equals non_conserved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8" t="str">
        <x:v>conservatorship_type</x:v>
      </x:c>
      <x:c r="B90" s="68" t="str">
        <x:v>Conservatorship type</x:v>
      </x:c>
      <x:c r="C90" s="68" t="str">
        <x:v>legal_conservatorship</x:v>
      </x:c>
      <x:c r="D90" s="68" t="str">
        <x:v>string</x:v>
      </x:c>
      <x:c r="E90" s="69" t="b">
        <x:v>1</x:v>
      </x:c>
      <x:c r="F90" s="68" t="str">
        <x:v>select</x:v>
      </x:c>
      <x:c r="G90" s="68" t="str">
        <x:v>non_conserved = Non-conserved; lps = LPS conservatorship; temporary = Temporary conservatorship (T-Con); murphy = Murphy conservatorship</x:v>
      </x:c>
      <x:c r="H90" s="68" t="str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8" t="str">
        <x:v>conservator_name</x:v>
      </x:c>
      <x:c r="B91" s="68" t="str">
        <x:v>Conservator name</x:v>
      </x:c>
      <x:c r="C91" s="68" t="str">
        <x:v>legal_conservatorship</x:v>
      </x:c>
      <x:c r="D91" s="68" t="str">
        <x:v>string</x:v>
      </x:c>
      <x:c r="E91" s="69" t="b">
        <x:v>0</x:v>
      </x:c>
      <x:c r="F91" s="68" t="str">
        <x:v>text</x:v>
      </x:c>
      <x:c r="G91" s="68" t="str"/>
      <x:c r="H91" s="68" t="str">
        <x:v>Shown when conservatorship_type not_equals non_conserved; Required when conservatorship_type not_equals non_conserved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8" t="str">
        <x:v>hold_type</x:v>
      </x:c>
      <x:c r="B92" s="68" t="str">
        <x:v>Hold type</x:v>
      </x:c>
      <x:c r="C92" s="68" t="str">
        <x:v>legal_conservatorship</x:v>
      </x:c>
      <x:c r="D92" s="68" t="str">
        <x:v>string</x:v>
      </x:c>
      <x:c r="E92" s="69" t="b">
        <x:v>0</x:v>
      </x:c>
      <x:c r="F92" s="68" t="str">
        <x:v>text</x:v>
      </x:c>
      <x:c r="G92" s="68" t="str"/>
      <x:c r="H92" s="68" t="str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8" t="str">
        <x:v>court_dates</x:v>
      </x:c>
      <x:c r="B93" s="68" t="str">
        <x:v>Court dates</x:v>
      </x:c>
      <x:c r="C93" s="68" t="str">
        <x:v>legal_conservatorship</x:v>
      </x:c>
      <x:c r="D93" s="68" t="str">
        <x:v>string</x:v>
      </x:c>
      <x:c r="E93" s="69" t="b">
        <x:v>0</x:v>
      </x:c>
      <x:c r="F93" s="68" t="str">
        <x:v>textarea</x:v>
      </x:c>
      <x:c r="G93" s="68" t="str"/>
      <x:c r="H93" s="68" t="str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8" t="str">
        <x:v>probation_parole_justice</x:v>
      </x:c>
      <x:c r="B94" s="68" t="str">
        <x:v>Probation / parole / justice</x:v>
      </x:c>
      <x:c r="C94" s="68" t="str">
        <x:v>legal_conservatorship</x:v>
      </x:c>
      <x:c r="D94" s="68" t="str">
        <x:v>string</x:v>
      </x:c>
      <x:c r="E94" s="69" t="b">
        <x:v>0</x:v>
      </x:c>
      <x:c r="F94" s="68" t="str">
        <x:v>textarea</x:v>
      </x:c>
      <x:c r="G94" s="68" t="str"/>
      <x:c r="H94" s="68" t="str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8" t="str">
        <x:v>forensic_involvement</x:v>
      </x:c>
      <x:c r="B95" s="68" t="str">
        <x:v>Forensic involvement</x:v>
      </x:c>
      <x:c r="C95" s="68" t="str">
        <x:v>legal_conservatorship</x:v>
      </x:c>
      <x:c r="D95" s="68" t="str">
        <x:v>string</x:v>
      </x:c>
      <x:c r="E95" s="69" t="b">
        <x:v>1</x:v>
      </x:c>
      <x:c r="F95" s="68" t="str">
        <x:v>yes_no</x:v>
      </x:c>
      <x:c r="G95" s="68" t="str">
        <x:v>yes = Yes; no = No; unable_to_assess = Unable to assess</x:v>
      </x:c>
      <x:c r="H95" s="68" t="str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8" t="str">
        <x:v>forensic_involvement_details</x:v>
      </x:c>
      <x:c r="B96" s="68" t="str">
        <x:v>Forensic involvement details</x:v>
      </x:c>
      <x:c r="C96" s="68" t="str">
        <x:v>legal_conservatorship</x:v>
      </x:c>
      <x:c r="D96" s="68" t="str">
        <x:v>string</x:v>
      </x:c>
      <x:c r="E96" s="69" t="b">
        <x:v>0</x:v>
      </x:c>
      <x:c r="F96" s="68" t="str">
        <x:v>textarea</x:v>
      </x:c>
      <x:c r="G96" s="68" t="str"/>
      <x:c r="H96" s="68" t="str">
        <x:v>Shown when forensic_involvement equals yes; Required when forensic_involvement equals yes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8" t="str">
        <x:v>arrest_history</x:v>
      </x:c>
      <x:c r="B97" s="68" t="str">
        <x:v>History of arrest</x:v>
      </x:c>
      <x:c r="C97" s="68" t="str">
        <x:v>legal_conservatorship</x:v>
      </x:c>
      <x:c r="D97" s="68" t="str">
        <x:v>string</x:v>
      </x:c>
      <x:c r="E97" s="69" t="b">
        <x:v>1</x:v>
      </x:c>
      <x:c r="F97" s="68" t="str">
        <x:v>yes_no</x:v>
      </x:c>
      <x:c r="G97" s="68" t="str">
        <x:v>yes = Yes; no = No; unable_to_assess = Unable to assess</x:v>
      </x:c>
      <x:c r="H97" s="68" t="str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8" t="str">
        <x:v>most_recent_arrest_date</x:v>
      </x:c>
      <x:c r="B98" s="68" t="str">
        <x:v>Most recent arrest date</x:v>
      </x:c>
      <x:c r="C98" s="68" t="str">
        <x:v>legal_conservatorship</x:v>
      </x:c>
      <x:c r="D98" s="68" t="str">
        <x:v>date</x:v>
      </x:c>
      <x:c r="E98" s="69" t="b">
        <x:v>0</x:v>
      </x:c>
      <x:c r="F98" s="68" t="str">
        <x:v>date</x:v>
      </x:c>
      <x:c r="G98" s="68" t="str"/>
      <x:c r="H98" s="68" t="str">
        <x:v>Shown when arrest_history equals yes; Required when arrest_history equals yes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8" t="str">
        <x:v>most_recent_arrest_charge</x:v>
      </x:c>
      <x:c r="B99" s="68" t="str">
        <x:v>Most recent arrest charge</x:v>
      </x:c>
      <x:c r="C99" s="68" t="str">
        <x:v>legal_conservatorship</x:v>
      </x:c>
      <x:c r="D99" s="68" t="str">
        <x:v>string</x:v>
      </x:c>
      <x:c r="E99" s="69" t="b">
        <x:v>0</x:v>
      </x:c>
      <x:c r="F99" s="68" t="str">
        <x:v>text</x:v>
      </x:c>
      <x:c r="G99" s="68" t="str"/>
      <x:c r="H99" s="68" t="str">
        <x:v>Shown when arrest_history equals yes; Required when arrest_history equals yes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8" t="str">
        <x:v>most_recent_arrest_jail_time</x:v>
      </x:c>
      <x:c r="B100" s="68" t="str">
        <x:v>Time in jail</x:v>
      </x:c>
      <x:c r="C100" s="68" t="str">
        <x:v>legal_conservatorship</x:v>
      </x:c>
      <x:c r="D100" s="68" t="str">
        <x:v>string</x:v>
      </x:c>
      <x:c r="E100" s="69" t="b">
        <x:v>0</x:v>
      </x:c>
      <x:c r="F100" s="68" t="str">
        <x:v>text</x:v>
      </x:c>
      <x:c r="G100" s="68" t="str"/>
      <x:c r="H100" s="68" t="str">
        <x:v>Shown when arrest_history equals yes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8" t="str">
        <x:v>arrest_in_last_two_years</x:v>
      </x:c>
      <x:c r="B101" s="68" t="str">
        <x:v>Arrest in the last two years</x:v>
      </x:c>
      <x:c r="C101" s="68" t="str">
        <x:v>legal_conservatorship</x:v>
      </x:c>
      <x:c r="D101" s="68" t="str">
        <x:v>string</x:v>
      </x:c>
      <x:c r="E101" s="69" t="b">
        <x:v>0</x:v>
      </x:c>
      <x:c r="F101" s="68" t="str">
        <x:v>yes_no</x:v>
      </x:c>
      <x:c r="G101" s="68" t="str">
        <x:v>yes = Yes; no = No; unable_to_assess = Unable to assess</x:v>
      </x:c>
      <x:c r="H101" s="68" t="str">
        <x:v>Shown when arrest_history equals yes; Required when arrest_history equals yes</x:v>
      </x:c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8" t="str">
        <x:v>arrest_last_two_years_details</x:v>
      </x:c>
      <x:c r="B102" s="68" t="str">
        <x:v>Recent arrest details</x:v>
      </x:c>
      <x:c r="C102" s="68" t="str">
        <x:v>legal_conservatorship</x:v>
      </x:c>
      <x:c r="D102" s="68" t="str">
        <x:v>string</x:v>
      </x:c>
      <x:c r="E102" s="69" t="b">
        <x:v>0</x:v>
      </x:c>
      <x:c r="F102" s="68" t="str">
        <x:v>textarea</x:v>
      </x:c>
      <x:c r="G102" s="68" t="str"/>
      <x:c r="H102" s="68" t="str">
        <x:v>Shown when arrest_in_last_two_years equals yes; Required when arrest_in_last_two_years equals yes</x:v>
      </x:c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8" t="str">
        <x:v>total_arrests</x:v>
      </x:c>
      <x:c r="B103" s="68" t="str">
        <x:v>Total recorded arrests</x:v>
      </x:c>
      <x:c r="C103" s="68" t="str">
        <x:v>legal_conservatorship</x:v>
      </x:c>
      <x:c r="D103" s="68" t="str">
        <x:v>integer</x:v>
      </x:c>
      <x:c r="E103" s="69" t="b">
        <x:v>0</x:v>
      </x:c>
      <x:c r="F103" s="68" t="str">
        <x:v>number</x:v>
      </x:c>
      <x:c r="G103" s="68" t="str"/>
      <x:c r="H103" s="68" t="str">
        <x:v>Shown when arrest_history equals yes; Required when arrest_history equals yes</x:v>
      </x:c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8" t="str">
        <x:v>pc290_registration</x:v>
      </x:c>
      <x:c r="B104" s="68" t="str">
        <x:v>PC 290 registration</x:v>
      </x:c>
      <x:c r="C104" s="68" t="str">
        <x:v>legal_conservatorship</x:v>
      </x:c>
      <x:c r="D104" s="68" t="str">
        <x:v>string</x:v>
      </x:c>
      <x:c r="E104" s="69" t="b">
        <x:v>1</x:v>
      </x:c>
      <x:c r="F104" s="68" t="str">
        <x:v>yes_no</x:v>
      </x:c>
      <x:c r="G104" s="68" t="str">
        <x:v>yes = Yes; no = No; unable_to_assess = Unable to assess</x:v>
      </x:c>
      <x:c r="H104" s="68" t="str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8" t="str">
        <x:v>arson_history</x:v>
      </x:c>
      <x:c r="B105" s="68" t="str">
        <x:v>Arson history</x:v>
      </x:c>
      <x:c r="C105" s="68" t="str">
        <x:v>legal_conservatorship</x:v>
      </x:c>
      <x:c r="D105" s="68" t="str">
        <x:v>string</x:v>
      </x:c>
      <x:c r="E105" s="69" t="b">
        <x:v>1</x:v>
      </x:c>
      <x:c r="F105" s="68" t="str">
        <x:v>yes_no</x:v>
      </x:c>
      <x:c r="G105" s="68" t="str">
        <x:v>yes = Yes; no = No; unable_to_assess = Unable to assess</x:v>
      </x:c>
      <x:c r="H105" s="68" t="str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8" t="str">
        <x:v>diversion_client</x:v>
      </x:c>
      <x:c r="B106" s="68" t="str">
        <x:v>Diversion client</x:v>
      </x:c>
      <x:c r="C106" s="68" t="str">
        <x:v>legal_conservatorship</x:v>
      </x:c>
      <x:c r="D106" s="68" t="str">
        <x:v>string</x:v>
      </x:c>
      <x:c r="E106" s="69" t="b">
        <x:v>1</x:v>
      </x:c>
      <x:c r="F106" s="68" t="str">
        <x:v>yes_no</x:v>
      </x:c>
      <x:c r="G106" s="68" t="str">
        <x:v>yes = Yes; no = No; unable_to_assess = Unable to assess</x:v>
      </x:c>
      <x:c r="H106" s="68" t="str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8" t="str">
        <x:v>court_requirements</x:v>
      </x:c>
      <x:c r="B107" s="68" t="str">
        <x:v>Court requirements</x:v>
      </x:c>
      <x:c r="C107" s="68" t="str">
        <x:v>legal_conservatorship</x:v>
      </x:c>
      <x:c r="D107" s="68" t="str">
        <x:v>string</x:v>
      </x:c>
      <x:c r="E107" s="69" t="b">
        <x:v>0</x:v>
      </x:c>
      <x:c r="F107" s="68" t="str">
        <x:v>textarea</x:v>
      </x:c>
      <x:c r="G107" s="68" t="str"/>
      <x:c r="H107" s="68" t="str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8" t="str">
        <x:v>medications_at_intake</x:v>
      </x:c>
      <x:c r="B108" s="68" t="str">
        <x:v>Medications at intake</x:v>
      </x:c>
      <x:c r="C108" s="68" t="str">
        <x:v>medication</x:v>
      </x:c>
      <x:c r="D108" s="68" t="str">
        <x:v>string_list</x:v>
      </x:c>
      <x:c r="E108" s="69" t="b">
        <x:v>0</x:v>
      </x:c>
      <x:c r="F108" s="68" t="str">
        <x:v>textarea</x:v>
      </x:c>
      <x:c r="G108" s="68" t="str"/>
      <x:c r="H108" s="68" t="str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8" t="str">
        <x:v>medication_adherence</x:v>
      </x:c>
      <x:c r="B109" s="68" t="str">
        <x:v>Medication compliant</x:v>
      </x:c>
      <x:c r="C109" s="68" t="str">
        <x:v>medication</x:v>
      </x:c>
      <x:c r="D109" s="68" t="str">
        <x:v>string</x:v>
      </x:c>
      <x:c r="E109" s="69" t="b">
        <x:v>1</x:v>
      </x:c>
      <x:c r="F109" s="68" t="str">
        <x:v>yes_no</x:v>
      </x:c>
      <x:c r="G109" s="68" t="str">
        <x:v>yes = Yes; no = No; unable_to_assess = Unable to assess</x:v>
      </x:c>
      <x:c r="H109" s="68" t="str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8" t="str">
        <x:v>lai_vs_oral</x:v>
      </x:c>
      <x:c r="B110" s="68" t="str">
        <x:v>LAI vs oral</x:v>
      </x:c>
      <x:c r="C110" s="68" t="str">
        <x:v>medication</x:v>
      </x:c>
      <x:c r="D110" s="68" t="str">
        <x:v>string</x:v>
      </x:c>
      <x:c r="E110" s="69" t="b">
        <x:v>0</x:v>
      </x:c>
      <x:c r="F110" s="68" t="str">
        <x:v>text</x:v>
      </x:c>
      <x:c r="G110" s="68" t="str"/>
      <x:c r="H110" s="68" t="str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8" t="str">
        <x:v>prn_patterns</x:v>
      </x:c>
      <x:c r="B111" s="68" t="str">
        <x:v>PRN patterns</x:v>
      </x:c>
      <x:c r="C111" s="68" t="str">
        <x:v>medication</x:v>
      </x:c>
      <x:c r="D111" s="68" t="str">
        <x:v>string</x:v>
      </x:c>
      <x:c r="E111" s="69" t="b">
        <x:v>0</x:v>
      </x:c>
      <x:c r="F111" s="68" t="str">
        <x:v>textarea</x:v>
      </x:c>
      <x:c r="G111" s="68" t="str"/>
      <x:c r="H111" s="68" t="str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8" t="str">
        <x:v>last_medication_refusal_date</x:v>
      </x:c>
      <x:c r="B112" s="68" t="str">
        <x:v>Date of last medication refusal</x:v>
      </x:c>
      <x:c r="C112" s="68" t="str">
        <x:v>medication</x:v>
      </x:c>
      <x:c r="D112" s="68" t="str">
        <x:v>date</x:v>
      </x:c>
      <x:c r="E112" s="69" t="b">
        <x:v>0</x:v>
      </x:c>
      <x:c r="F112" s="68" t="str">
        <x:v>date</x:v>
      </x:c>
      <x:c r="G112" s="68" t="str"/>
      <x:c r="H112" s="68" t="str">
        <x:v>Shown when medication_adherence equals no; Required when medication_adherence equals no</x:v>
      </x:c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8" t="str">
        <x:v>medication_refused</x:v>
      </x:c>
      <x:c r="B113" s="68" t="str">
        <x:v>Medication refused</x:v>
      </x:c>
      <x:c r="C113" s="68" t="str">
        <x:v>medication</x:v>
      </x:c>
      <x:c r="D113" s="68" t="str">
        <x:v>string</x:v>
      </x:c>
      <x:c r="E113" s="69" t="b">
        <x:v>0</x:v>
      </x:c>
      <x:c r="F113" s="68" t="str">
        <x:v>text</x:v>
      </x:c>
      <x:c r="G113" s="68" t="str"/>
      <x:c r="H113" s="68" t="str">
        <x:v>Shown when medication_adherence equals no; Required when medication_adherence equals no</x:v>
      </x:c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8" t="str">
        <x:v>medication_refusals_30_days</x:v>
      </x:c>
      <x:c r="B114" s="68" t="str">
        <x:v>Refusals in the last 30 days</x:v>
      </x:c>
      <x:c r="C114" s="68" t="str">
        <x:v>medication</x:v>
      </x:c>
      <x:c r="D114" s="68" t="str">
        <x:v>integer</x:v>
      </x:c>
      <x:c r="E114" s="69" t="b">
        <x:v>0</x:v>
      </x:c>
      <x:c r="F114" s="68" t="str">
        <x:v>number</x:v>
      </x:c>
      <x:c r="G114" s="68" t="str"/>
      <x:c r="H114" s="68" t="str">
        <x:v>Shown when medication_adherence equals no; Required when medication_adherence equals no</x:v>
      </x:c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8" t="str">
        <x:v>im_injections</x:v>
      </x:c>
      <x:c r="B115" s="68" t="str">
        <x:v>IM injections</x:v>
      </x:c>
      <x:c r="C115" s="68" t="str">
        <x:v>medication</x:v>
      </x:c>
      <x:c r="D115" s="68" t="str">
        <x:v>string</x:v>
      </x:c>
      <x:c r="E115" s="69" t="b">
        <x:v>1</x:v>
      </x:c>
      <x:c r="F115" s="68" t="str">
        <x:v>yes_no</x:v>
      </x:c>
      <x:c r="G115" s="68" t="str">
        <x:v>yes = Yes; no = No; unable_to_assess = Unable to assess</x:v>
      </x:c>
      <x:c r="H115" s="68" t="str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8" t="str">
        <x:v>substances</x:v>
      </x:c>
      <x:c r="B116" s="68" t="str">
        <x:v>Substances</x:v>
      </x:c>
      <x:c r="C116" s="68" t="str">
        <x:v>substance_use</x:v>
      </x:c>
      <x:c r="D116" s="68" t="str">
        <x:v>string_list</x:v>
      </x:c>
      <x:c r="E116" s="69" t="b">
        <x:v>0</x:v>
      </x:c>
      <x:c r="F116" s="68" t="str">
        <x:v>multi_select</x:v>
      </x:c>
      <x:c r="G116" s="68" t="str">
        <x:v>opioids = Opioids; amphetamines = Amphetamines; marijuana = Marijuana; alcohol = Alcohol; other = Other</x:v>
      </x:c>
      <x:c r="H116" s="68" t="str">
        <x:v>Shown when substance_abuse_history equals yes; Required when substance_abuse_history equals yes</x:v>
      </x:c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8" t="str">
        <x:v>use_pattern</x:v>
      </x:c>
      <x:c r="B117" s="68" t="str">
        <x:v>Use pattern</x:v>
      </x:c>
      <x:c r="C117" s="68" t="str">
        <x:v>substance_use</x:v>
      </x:c>
      <x:c r="D117" s="68" t="str">
        <x:v>string</x:v>
      </x:c>
      <x:c r="E117" s="69" t="b">
        <x:v>0</x:v>
      </x:c>
      <x:c r="F117" s="68" t="str">
        <x:v>select</x:v>
      </x:c>
      <x:c r="G117" s="68" t="str">
        <x:v>daily = Daily; weekly = Weekly; sporadic = Sporadic; rarely = Rarely</x:v>
      </x:c>
      <x:c r="H117" s="68" t="str">
        <x:v>Shown when substance_abuse_history equals yes; Required when substance_abuse_history equals yes</x:v>
      </x:c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8" t="str">
        <x:v>treatment_history</x:v>
      </x:c>
      <x:c r="B118" s="68" t="str">
        <x:v>Treatment history</x:v>
      </x:c>
      <x:c r="C118" s="68" t="str">
        <x:v>substance_use</x:v>
      </x:c>
      <x:c r="D118" s="68" t="str">
        <x:v>string</x:v>
      </x:c>
      <x:c r="E118" s="69" t="b">
        <x:v>0</x:v>
      </x:c>
      <x:c r="F118" s="68" t="str">
        <x:v>textarea</x:v>
      </x:c>
      <x:c r="G118" s="68" t="str"/>
      <x:c r="H118" s="68" t="str">
        <x:v>Shown when substance_abuse_history equals yes</x:v>
      </x:c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8" t="str">
        <x:v>substance_abuse_history</x:v>
      </x:c>
      <x:c r="B119" s="68" t="str">
        <x:v>History of substance abuse</x:v>
      </x:c>
      <x:c r="C119" s="68" t="str">
        <x:v>substance_use</x:v>
      </x:c>
      <x:c r="D119" s="68" t="str">
        <x:v>string</x:v>
      </x:c>
      <x:c r="E119" s="69" t="b">
        <x:v>1</x:v>
      </x:c>
      <x:c r="F119" s="68" t="str">
        <x:v>yes_no</x:v>
      </x:c>
      <x:c r="G119" s="68" t="str">
        <x:v>yes = Yes; no = No; unable_to_assess = Unable to assess</x:v>
      </x:c>
      <x:c r="H119" s="68" t="str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8" t="str">
        <x:v>active_substance_use</x:v>
      </x:c>
      <x:c r="B120" s="68" t="str">
        <x:v>Active substance use</x:v>
      </x:c>
      <x:c r="C120" s="68" t="str">
        <x:v>substance_use</x:v>
      </x:c>
      <x:c r="D120" s="68" t="str">
        <x:v>string</x:v>
      </x:c>
      <x:c r="E120" s="69" t="b">
        <x:v>1</x:v>
      </x:c>
      <x:c r="F120" s="68" t="str">
        <x:v>yes_no</x:v>
      </x:c>
      <x:c r="G120" s="68" t="str">
        <x:v>yes = Yes; no = No; unable_to_assess = Unable to assess</x:v>
      </x:c>
      <x:c r="H120" s="68" t="str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8" t="str">
        <x:v>last_substance_use_date</x:v>
      </x:c>
      <x:c r="B121" s="68" t="str">
        <x:v>Last substance use</x:v>
      </x:c>
      <x:c r="C121" s="68" t="str">
        <x:v>substance_use</x:v>
      </x:c>
      <x:c r="D121" s="68" t="str">
        <x:v>date</x:v>
      </x:c>
      <x:c r="E121" s="69" t="b">
        <x:v>0</x:v>
      </x:c>
      <x:c r="F121" s="68" t="str">
        <x:v>date</x:v>
      </x:c>
      <x:c r="G121" s="68" t="str"/>
      <x:c r="H121" s="68" t="str">
        <x:v>Shown when substance_abuse_history equals yes</x:v>
      </x:c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8" t="str">
        <x:v>substance_effect_on_baseline</x:v>
      </x:c>
      <x:c r="B122" s="68" t="str">
        <x:v>Effect on baseline behavior</x:v>
      </x:c>
      <x:c r="C122" s="68" t="str">
        <x:v>substance_use</x:v>
      </x:c>
      <x:c r="D122" s="68" t="str">
        <x:v>string</x:v>
      </x:c>
      <x:c r="E122" s="69" t="b">
        <x:v>0</x:v>
      </x:c>
      <x:c r="F122" s="68" t="str">
        <x:v>textarea</x:v>
      </x:c>
      <x:c r="G122" s="68" t="str"/>
      <x:c r="H122" s="68" t="str">
        <x:v>Shown when substance_abuse_history equals yes</x:v>
      </x:c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8" t="str">
        <x:v>longest_sobriety_months</x:v>
      </x:c>
      <x:c r="B123" s="68" t="str">
        <x:v>Longest sobriety in the last five years</x:v>
      </x:c>
      <x:c r="C123" s="68" t="str">
        <x:v>substance_use</x:v>
      </x:c>
      <x:c r="D123" s="68" t="str">
        <x:v>integer</x:v>
      </x:c>
      <x:c r="E123" s="69" t="b">
        <x:v>0</x:v>
      </x:c>
      <x:c r="F123" s="68" t="str">
        <x:v>number</x:v>
      </x:c>
      <x:c r="G123" s="68" t="str"/>
      <x:c r="H123" s="68" t="str">
        <x:v>Shown when substance_abuse_history equals yes</x:v>
      </x:c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8" t="str">
        <x:v>substance_use_insight</x:v>
      </x:c>
      <x:c r="B124" s="68" t="str">
        <x:v>Insight into substance use</x:v>
      </x:c>
      <x:c r="C124" s="68" t="str">
        <x:v>substance_use</x:v>
      </x:c>
      <x:c r="D124" s="68" t="str">
        <x:v>string</x:v>
      </x:c>
      <x:c r="E124" s="69" t="b">
        <x:v>0</x:v>
      </x:c>
      <x:c r="F124" s="68" t="str">
        <x:v>yes_no</x:v>
      </x:c>
      <x:c r="G124" s="68" t="str">
        <x:v>yes = Yes; no = No; unable_to_assess = Unable to assess</x:v>
      </x:c>
      <x:c r="H124" s="68" t="str">
        <x:v>Shown when substance_abuse_history equals yes; Required when substance_abuse_history equals yes</x:v>
      </x:c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8" t="str">
        <x:v>substance_use_insight_details</x:v>
      </x:c>
      <x:c r="B125" s="68" t="str">
        <x:v>Substance-use insight details</x:v>
      </x:c>
      <x:c r="C125" s="68" t="str">
        <x:v>substance_use</x:v>
      </x:c>
      <x:c r="D125" s="68" t="str">
        <x:v>string</x:v>
      </x:c>
      <x:c r="E125" s="69" t="b">
        <x:v>0</x:v>
      </x:c>
      <x:c r="F125" s="68" t="str">
        <x:v>textarea</x:v>
      </x:c>
      <x:c r="G125" s="68" t="str"/>
      <x:c r="H125" s="68" t="str">
        <x:v>Shown when substance_abuse_history equals yes; Required when substance_abuse_history equals yes</x:v>
      </x:c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8" t="str">
        <x:v>physical_health_concerns</x:v>
      </x:c>
      <x:c r="B126" s="68" t="str">
        <x:v>Physical health concerns</x:v>
      </x:c>
      <x:c r="C126" s="68" t="str">
        <x:v>physical_health</x:v>
      </x:c>
      <x:c r="D126" s="68" t="str">
        <x:v>string</x:v>
      </x:c>
      <x:c r="E126" s="69" t="b">
        <x:v>1</x:v>
      </x:c>
      <x:c r="F126" s="68" t="str">
        <x:v>yes_no</x:v>
      </x:c>
      <x:c r="G126" s="68" t="str">
        <x:v>yes = Yes; no = No; unable_to_assess = Unable to assess</x:v>
      </x:c>
      <x:c r="H126" s="68" t="str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8" t="str">
        <x:v>physical_health_diagnoses</x:v>
      </x:c>
      <x:c r="B127" s="68" t="str">
        <x:v>Physical health diagnoses</x:v>
      </x:c>
      <x:c r="C127" s="68" t="str">
        <x:v>physical_health</x:v>
      </x:c>
      <x:c r="D127" s="68" t="str">
        <x:v>string</x:v>
      </x:c>
      <x:c r="E127" s="69" t="b">
        <x:v>0</x:v>
      </x:c>
      <x:c r="F127" s="68" t="str">
        <x:v>textarea</x:v>
      </x:c>
      <x:c r="G127" s="68" t="str"/>
      <x:c r="H127" s="68" t="str">
        <x:v>Shown when physical_health_concerns equals yes; Required when physical_health_concerns equals yes</x:v>
      </x:c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8" t="str">
        <x:v>physical_health_measures</x:v>
      </x:c>
      <x:c r="B128" s="68" t="str">
        <x:v>Current health measures</x:v>
      </x:c>
      <x:c r="C128" s="68" t="str">
        <x:v>physical_health</x:v>
      </x:c>
      <x:c r="D128" s="68" t="str">
        <x:v>string</x:v>
      </x:c>
      <x:c r="E128" s="69" t="b">
        <x:v>0</x:v>
      </x:c>
      <x:c r="F128" s="68" t="str">
        <x:v>textarea</x:v>
      </x:c>
      <x:c r="G128" s="68" t="str"/>
      <x:c r="H128" s="68" t="str">
        <x:v>Shown when physical_health_concerns equals yes; Required when physical_health_concerns equals yes</x:v>
      </x:c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8" t="str">
        <x:v>diabetic</x:v>
      </x:c>
      <x:c r="B129" s="68" t="str">
        <x:v>Diabetic</x:v>
      </x:c>
      <x:c r="C129" s="68" t="str">
        <x:v>physical_health</x:v>
      </x:c>
      <x:c r="D129" s="68" t="str">
        <x:v>string</x:v>
      </x:c>
      <x:c r="E129" s="69" t="b">
        <x:v>1</x:v>
      </x:c>
      <x:c r="F129" s="68" t="str">
        <x:v>yes_no</x:v>
      </x:c>
      <x:c r="G129" s="68" t="str">
        <x:v>yes = Yes; no = No; unable_to_assess = Unable to assess</x:v>
      </x:c>
      <x:c r="H129" s="68" t="str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8" t="str">
        <x:v>diabetic_details</x:v>
      </x:c>
      <x:c r="B130" s="68" t="str">
        <x:v>Diabetes care details</x:v>
      </x:c>
      <x:c r="C130" s="68" t="str">
        <x:v>physical_health</x:v>
      </x:c>
      <x:c r="D130" s="68" t="str">
        <x:v>string</x:v>
      </x:c>
      <x:c r="E130" s="69" t="b">
        <x:v>0</x:v>
      </x:c>
      <x:c r="F130" s="68" t="str">
        <x:v>textarea</x:v>
      </x:c>
      <x:c r="G130" s="68" t="str"/>
      <x:c r="H130" s="68" t="str">
        <x:v>Shown when diabetic equals yes; Required when diabetic equals yes</x:v>
      </x:c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8" t="str">
        <x:v>special_diet</x:v>
      </x:c>
      <x:c r="B131" s="68" t="str">
        <x:v>Special diet</x:v>
      </x:c>
      <x:c r="C131" s="68" t="str">
        <x:v>physical_health</x:v>
      </x:c>
      <x:c r="D131" s="68" t="str">
        <x:v>string</x:v>
      </x:c>
      <x:c r="E131" s="69" t="b">
        <x:v>1</x:v>
      </x:c>
      <x:c r="F131" s="68" t="str">
        <x:v>yes_no</x:v>
      </x:c>
      <x:c r="G131" s="68" t="str">
        <x:v>yes = Yes; no = No; unable_to_assess = Unable to assess</x:v>
      </x:c>
      <x:c r="H131" s="68" t="str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8" t="str">
        <x:v>special_diet_details</x:v>
      </x:c>
      <x:c r="B132" s="68" t="str">
        <x:v>Dietary restrictions</x:v>
      </x:c>
      <x:c r="C132" s="68" t="str">
        <x:v>physical_health</x:v>
      </x:c>
      <x:c r="D132" s="68" t="str">
        <x:v>string</x:v>
      </x:c>
      <x:c r="E132" s="69" t="b">
        <x:v>0</x:v>
      </x:c>
      <x:c r="F132" s="68" t="str">
        <x:v>textarea</x:v>
      </x:c>
      <x:c r="G132" s="68" t="str"/>
      <x:c r="H132" s="68" t="str">
        <x:v>Shown when special_diet equals yes; Required when special_diet equals yes</x:v>
      </x:c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8" t="str">
        <x:v>skin_integrity_issue</x:v>
      </x:c>
      <x:c r="B133" s="68" t="str">
        <x:v>Skin integrity issue</x:v>
      </x:c>
      <x:c r="C133" s="68" t="str">
        <x:v>physical_health</x:v>
      </x:c>
      <x:c r="D133" s="68" t="str">
        <x:v>string</x:v>
      </x:c>
      <x:c r="E133" s="69" t="b">
        <x:v>1</x:v>
      </x:c>
      <x:c r="F133" s="68" t="str">
        <x:v>yes_no</x:v>
      </x:c>
      <x:c r="G133" s="68" t="str">
        <x:v>yes = Yes; no = No; unable_to_assess = Unable to assess</x:v>
      </x:c>
      <x:c r="H133" s="68" t="str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8" t="str">
        <x:v>skin_integrity_details</x:v>
      </x:c>
      <x:c r="B134" s="68" t="str">
        <x:v>Skin integrity details</x:v>
      </x:c>
      <x:c r="C134" s="68" t="str">
        <x:v>physical_health</x:v>
      </x:c>
      <x:c r="D134" s="68" t="str">
        <x:v>string</x:v>
      </x:c>
      <x:c r="E134" s="69" t="b">
        <x:v>0</x:v>
      </x:c>
      <x:c r="F134" s="68" t="str">
        <x:v>textarea</x:v>
      </x:c>
      <x:c r="G134" s="68" t="str"/>
      <x:c r="H134" s="68" t="str">
        <x:v>Shown when skin_integrity_issue equals yes; Required when skin_integrity_issue equals yes</x:v>
      </x:c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8" t="str">
        <x:v>uses_dentures</x:v>
      </x:c>
      <x:c r="B135" s="68" t="str">
        <x:v>Dentures</x:v>
      </x:c>
      <x:c r="C135" s="68" t="str">
        <x:v>physical_health</x:v>
      </x:c>
      <x:c r="D135" s="68" t="str">
        <x:v>string</x:v>
      </x:c>
      <x:c r="E135" s="69" t="b">
        <x:v>1</x:v>
      </x:c>
      <x:c r="F135" s="68" t="str">
        <x:v>yes_no</x:v>
      </x:c>
      <x:c r="G135" s="68" t="str">
        <x:v>yes = Yes; no = No; unable_to_assess = Unable to assess</x:v>
      </x:c>
      <x:c r="H135" s="68" t="str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8" t="str">
        <x:v>uses_hearing_aids</x:v>
      </x:c>
      <x:c r="B136" s="68" t="str">
        <x:v>Hearing aids</x:v>
      </x:c>
      <x:c r="C136" s="68" t="str">
        <x:v>physical_health</x:v>
      </x:c>
      <x:c r="D136" s="68" t="str">
        <x:v>string</x:v>
      </x:c>
      <x:c r="E136" s="69" t="b">
        <x:v>1</x:v>
      </x:c>
      <x:c r="F136" s="68" t="str">
        <x:v>yes_no</x:v>
      </x:c>
      <x:c r="G136" s="68" t="str">
        <x:v>yes = Yes; no = No; unable_to_assess = Unable to assess</x:v>
      </x:c>
      <x:c r="H136" s="68" t="str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8" t="str">
        <x:v>uses_glasses</x:v>
      </x:c>
      <x:c r="B137" s="68" t="str">
        <x:v>Glasses</x:v>
      </x:c>
      <x:c r="C137" s="68" t="str">
        <x:v>physical_health</x:v>
      </x:c>
      <x:c r="D137" s="68" t="str">
        <x:v>string</x:v>
      </x:c>
      <x:c r="E137" s="69" t="b">
        <x:v>1</x:v>
      </x:c>
      <x:c r="F137" s="68" t="str">
        <x:v>yes_no</x:v>
      </x:c>
      <x:c r="G137" s="68" t="str">
        <x:v>yes = Yes; no = No; unable_to_assess = Unable to assess</x:v>
      </x:c>
      <x:c r="H137" s="68" t="str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8" t="str">
        <x:v>uses_oxygen</x:v>
      </x:c>
      <x:c r="B138" s="68" t="str">
        <x:v>Oxygen</x:v>
      </x:c>
      <x:c r="C138" s="68" t="str">
        <x:v>physical_health</x:v>
      </x:c>
      <x:c r="D138" s="68" t="str">
        <x:v>string</x:v>
      </x:c>
      <x:c r="E138" s="69" t="b">
        <x:v>1</x:v>
      </x:c>
      <x:c r="F138" s="68" t="str">
        <x:v>yes_no</x:v>
      </x:c>
      <x:c r="G138" s="68" t="str">
        <x:v>yes = Yes; no = No; unable_to_assess = Unable to assess</x:v>
      </x:c>
      <x:c r="H138" s="68" t="str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8" t="str">
        <x:v>uses_hospital_bed</x:v>
      </x:c>
      <x:c r="B139" s="68" t="str">
        <x:v>Hospital bed</x:v>
      </x:c>
      <x:c r="C139" s="68" t="str">
        <x:v>physical_health</x:v>
      </x:c>
      <x:c r="D139" s="68" t="str">
        <x:v>string</x:v>
      </x:c>
      <x:c r="E139" s="69" t="b">
        <x:v>1</x:v>
      </x:c>
      <x:c r="F139" s="68" t="str">
        <x:v>yes_no</x:v>
      </x:c>
      <x:c r="G139" s="68" t="str">
        <x:v>yes = Yes; no = No; unable_to_assess = Unable to assess</x:v>
      </x:c>
      <x:c r="H139" s="68" t="str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8" t="str">
        <x:v>uses_cpap</x:v>
      </x:c>
      <x:c r="B140" s="68" t="str">
        <x:v>CPAP</x:v>
      </x:c>
      <x:c r="C140" s="68" t="str">
        <x:v>physical_health</x:v>
      </x:c>
      <x:c r="D140" s="68" t="str">
        <x:v>string</x:v>
      </x:c>
      <x:c r="E140" s="69" t="b">
        <x:v>1</x:v>
      </x:c>
      <x:c r="F140" s="68" t="str">
        <x:v>yes_no</x:v>
      </x:c>
      <x:c r="G140" s="68" t="str">
        <x:v>yes = Yes; no = No; unable_to_assess = Unable to assess</x:v>
      </x:c>
      <x:c r="H140" s="68" t="str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8" t="str">
        <x:v>catheter_care</x:v>
      </x:c>
      <x:c r="B141" s="68" t="str">
        <x:v>Catheter care</x:v>
      </x:c>
      <x:c r="C141" s="68" t="str">
        <x:v>physical_health</x:v>
      </x:c>
      <x:c r="D141" s="68" t="str">
        <x:v>string</x:v>
      </x:c>
      <x:c r="E141" s="69" t="b">
        <x:v>1</x:v>
      </x:c>
      <x:c r="F141" s="68" t="str">
        <x:v>yes_no</x:v>
      </x:c>
      <x:c r="G141" s="68" t="str">
        <x:v>yes = Yes; no = No; unable_to_assess = Unable to assess</x:v>
      </x:c>
      <x:c r="H141" s="68" t="str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8" t="str">
        <x:v>colostomy</x:v>
      </x:c>
      <x:c r="B142" s="68" t="str">
        <x:v>Colostomy</x:v>
      </x:c>
      <x:c r="C142" s="68" t="str">
        <x:v>physical_health</x:v>
      </x:c>
      <x:c r="D142" s="68" t="str">
        <x:v>string</x:v>
      </x:c>
      <x:c r="E142" s="69" t="b">
        <x:v>1</x:v>
      </x:c>
      <x:c r="F142" s="68" t="str">
        <x:v>yes_no</x:v>
      </x:c>
      <x:c r="G142" s="68" t="str">
        <x:v>yes = Yes; no = No; unable_to_assess = Unable to assess</x:v>
      </x:c>
      <x:c r="H142" s="68" t="str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8" t="str">
        <x:v>ileostomy</x:v>
      </x:c>
      <x:c r="B143" s="68" t="str">
        <x:v>Ileostomy</x:v>
      </x:c>
      <x:c r="C143" s="68" t="str">
        <x:v>physical_health</x:v>
      </x:c>
      <x:c r="D143" s="68" t="str">
        <x:v>string</x:v>
      </x:c>
      <x:c r="E143" s="69" t="b">
        <x:v>1</x:v>
      </x:c>
      <x:c r="F143" s="68" t="str">
        <x:v>yes_no</x:v>
      </x:c>
      <x:c r="G143" s="68" t="str">
        <x:v>yes = Yes; no = No; unable_to_assess = Unable to assess</x:v>
      </x:c>
      <x:c r="H143" s="68" t="str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8" t="str">
        <x:v>additional_health_notes</x:v>
      </x:c>
      <x:c r="B144" s="68" t="str">
        <x:v>Additional health information</x:v>
      </x:c>
      <x:c r="C144" s="68" t="str">
        <x:v>physical_health</x:v>
      </x:c>
      <x:c r="D144" s="68" t="str">
        <x:v>string</x:v>
      </x:c>
      <x:c r="E144" s="69" t="b">
        <x:v>0</x:v>
      </x:c>
      <x:c r="F144" s="68" t="str">
        <x:v>textarea</x:v>
      </x:c>
      <x:c r="G144" s="68" t="str"/>
      <x:c r="H144" s="68" t="str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8" t="str">
        <x:v>family_involvement</x:v>
      </x:c>
      <x:c r="B145" s="68" t="str">
        <x:v>Family involvement</x:v>
      </x:c>
      <x:c r="C145" s="68" t="str">
        <x:v>social_support</x:v>
      </x:c>
      <x:c r="D145" s="68" t="str">
        <x:v>string</x:v>
      </x:c>
      <x:c r="E145" s="69" t="b">
        <x:v>0</x:v>
      </x:c>
      <x:c r="F145" s="68" t="str">
        <x:v>textarea</x:v>
      </x:c>
      <x:c r="G145" s="68" t="str"/>
      <x:c r="H145" s="68" t="str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8" t="str">
        <x:v>housing_history</x:v>
      </x:c>
      <x:c r="B146" s="68" t="str">
        <x:v>Housing history</x:v>
      </x:c>
      <x:c r="C146" s="68" t="str">
        <x:v>social_support</x:v>
      </x:c>
      <x:c r="D146" s="68" t="str">
        <x:v>string</x:v>
      </x:c>
      <x:c r="E146" s="69" t="b">
        <x:v>0</x:v>
      </x:c>
      <x:c r="F146" s="68" t="str">
        <x:v>textarea</x:v>
      </x:c>
      <x:c r="G146" s="68" t="str"/>
      <x:c r="H146" s="68" t="str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8" t="str">
        <x:v>prior_living_situation</x:v>
      </x:c>
      <x:c r="B147" s="68" t="str">
        <x:v>Prior living situation</x:v>
      </x:c>
      <x:c r="C147" s="68" t="str">
        <x:v>social_support</x:v>
      </x:c>
      <x:c r="D147" s="68" t="str">
        <x:v>string</x:v>
      </x:c>
      <x:c r="E147" s="69" t="b">
        <x:v>0</x:v>
      </x:c>
      <x:c r="F147" s="68" t="str">
        <x:v>textarea</x:v>
      </x:c>
      <x:c r="G147" s="68" t="str"/>
      <x:c r="H147" s="68" t="str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8" t="str">
        <x:v>benefits_income_status</x:v>
      </x:c>
      <x:c r="B148" s="68" t="str">
        <x:v>Benefits / income status</x:v>
      </x:c>
      <x:c r="C148" s="68" t="str">
        <x:v>social_support</x:v>
      </x:c>
      <x:c r="D148" s="68" t="str">
        <x:v>string</x:v>
      </x:c>
      <x:c r="E148" s="69" t="b">
        <x:v>0</x:v>
      </x:c>
      <x:c r="F148" s="68" t="str">
        <x:v>textarea</x:v>
      </x:c>
      <x:c r="G148" s="68" t="str"/>
      <x:c r="H148" s="68" t="str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8" t="str">
        <x:v>discharge_planning_goals</x:v>
      </x:c>
      <x:c r="B149" s="68" t="str">
        <x:v>Discharge planning goals</x:v>
      </x:c>
      <x:c r="C149" s="68" t="str">
        <x:v>social_support</x:v>
      </x:c>
      <x:c r="D149" s="68" t="str">
        <x:v>string</x:v>
      </x:c>
      <x:c r="E149" s="69" t="b">
        <x:v>0</x:v>
      </x:c>
      <x:c r="F149" s="68" t="str">
        <x:v>textarea</x:v>
      </x:c>
      <x:c r="G149" s="68" t="str"/>
      <x:c r="H149" s="68" t="str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8" t="str">
        <x:v>friendships_social_connections</x:v>
      </x:c>
      <x:c r="B150" s="68" t="str">
        <x:v>Friendships and social connections</x:v>
      </x:c>
      <x:c r="C150" s="68" t="str">
        <x:v>social_support</x:v>
      </x:c>
      <x:c r="D150" s="68" t="str">
        <x:v>string</x:v>
      </x:c>
      <x:c r="E150" s="69" t="b">
        <x:v>0</x:v>
      </x:c>
      <x:c r="F150" s="68" t="str">
        <x:v>textarea</x:v>
      </x:c>
      <x:c r="G150" s="68" t="str"/>
      <x:c r="H150" s="68" t="str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8" t="str">
        <x:v>preferred_facility_characteristics</x:v>
      </x:c>
      <x:c r="B151" s="68" t="str">
        <x:v>Preferred facility characteristics</x:v>
      </x:c>
      <x:c r="C151" s="68" t="str">
        <x:v>social_support</x:v>
      </x:c>
      <x:c r="D151" s="68" t="str">
        <x:v>string</x:v>
      </x:c>
      <x:c r="E151" s="69" t="b">
        <x:v>0</x:v>
      </x:c>
      <x:c r="F151" s="68" t="str">
        <x:v>textarea</x:v>
      </x:c>
      <x:c r="G151" s="68" t="str"/>
      <x:c r="H151" s="68" t="str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8" t="str">
        <x:v>placement_preferences_concerns</x:v>
      </x:c>
      <x:c r="B152" s="68" t="str">
        <x:v>Placement preferences and concerns</x:v>
      </x:c>
      <x:c r="C152" s="68" t="str">
        <x:v>social_support</x:v>
      </x:c>
      <x:c r="D152" s="68" t="str">
        <x:v>string</x:v>
      </x:c>
      <x:c r="E152" s="69" t="b">
        <x:v>0</x:v>
      </x:c>
      <x:c r="F152" s="68" t="str">
        <x:v>textarea</x:v>
      </x:c>
      <x:c r="G152" s="68" t="str"/>
      <x:c r="H152" s="68" t="str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8" t="str">
        <x:v>additional_information</x:v>
      </x:c>
      <x:c r="B153" s="68" t="str">
        <x:v>Additional information</x:v>
      </x:c>
      <x:c r="C153" s="68" t="str">
        <x:v>provenance_qc</x:v>
      </x:c>
      <x:c r="D153" s="68" t="str">
        <x:v>string</x:v>
      </x:c>
      <x:c r="E153" s="69" t="b">
        <x:v>0</x:v>
      </x:c>
      <x:c r="F153" s="68" t="str">
        <x:v>textarea</x:v>
      </x:c>
      <x:c r="G153" s="68" t="str"/>
      <x:c r="H153" s="68" t="str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8" t="str">
        <x:v>placement_process_questions</x:v>
      </x:c>
      <x:c r="B154" s="68" t="str">
        <x:v>Placement questions or concerns</x:v>
      </x:c>
      <x:c r="C154" s="68" t="str">
        <x:v>provenance_qc</x:v>
      </x:c>
      <x:c r="D154" s="68" t="str">
        <x:v>string</x:v>
      </x:c>
      <x:c r="E154" s="69" t="b">
        <x:v>0</x:v>
      </x:c>
      <x:c r="F154" s="68" t="str">
        <x:v>textarea</x:v>
      </x:c>
      <x:c r="G154" s="68" t="str"/>
      <x:c r="H154" s="68" t="str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8" t="str">
        <x:v>unable_to_assess_reasons</x:v>
      </x:c>
      <x:c r="B155" s="68" t="str">
        <x:v>Unable-to-assess explanations</x:v>
      </x:c>
      <x:c r="C155" s="68" t="str">
        <x:v>provenance_qc</x:v>
      </x:c>
      <x:c r="D155" s="68" t="str">
        <x:v>reason_map</x:v>
      </x:c>
      <x:c r="E155" s="69" t="b">
        <x:v>0</x:v>
      </x:c>
      <x:c r="F155" s="68" t="str"/>
      <x:c r="G155" s="68" t="str"/>
      <x:c r="H155" s="68" t="str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8" t="str">
        <x:v>source_file</x:v>
      </x:c>
      <x:c r="B156" s="68" t="str">
        <x:v>Source file</x:v>
      </x:c>
      <x:c r="C156" s="68" t="str">
        <x:v>provenance_qc</x:v>
      </x:c>
      <x:c r="D156" s="68" t="str">
        <x:v>string</x:v>
      </x:c>
      <x:c r="E156" s="69" t="b">
        <x:v>0</x:v>
      </x:c>
      <x:c r="F156" s="68" t="str"/>
      <x:c r="G156" s="68" t="str"/>
      <x:c r="H156" s="68" t="str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8" t="str">
        <x:v>match_confidence</x:v>
      </x:c>
      <x:c r="B157" s="68" t="str">
        <x:v>Match confidence</x:v>
      </x:c>
      <x:c r="C157" s="68" t="str">
        <x:v>provenance_qc</x:v>
      </x:c>
      <x:c r="D157" s="68" t="str">
        <x:v>confidence</x:v>
      </x:c>
      <x:c r="E157" s="69" t="b">
        <x:v>0</x:v>
      </x:c>
      <x:c r="F157" s="68" t="str"/>
      <x:c r="G157" s="68" t="str"/>
      <x:c r="H157" s="68" t="str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8" t="str">
        <x:v>assessment_notes</x:v>
      </x:c>
      <x:c r="B158" s="68" t="str">
        <x:v>Assessment notes</x:v>
      </x:c>
      <x:c r="C158" s="68" t="str">
        <x:v>provenance_qc</x:v>
      </x:c>
      <x:c r="D158" s="68" t="str">
        <x:v>string</x:v>
      </x:c>
      <x:c r="E158" s="69" t="b">
        <x:v>0</x:v>
      </x:c>
      <x:c r="F158" s="68" t="str">
        <x:v>textarea</x:v>
      </x:c>
      <x:c r="G158" s="68" t="str"/>
      <x:c r="H158" s="68" t="str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8" t="str">
        <x:v>extraction_date</x:v>
      </x:c>
      <x:c r="B159" s="68" t="str">
        <x:v>Extraction date</x:v>
      </x:c>
      <x:c r="C159" s="68" t="str">
        <x:v>provenance_qc</x:v>
      </x:c>
      <x:c r="D159" s="68" t="str">
        <x:v>timestamp</x:v>
      </x:c>
      <x:c r="E159" s="69" t="b">
        <x:v>0</x:v>
      </x:c>
      <x:c r="F159" s="68" t="str"/>
      <x:c r="G159" s="68" t="str"/>
      <x:c r="H159" s="68" t="str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 t="str">
        <x:v>im_injections_details</x:v>
      </x:c>
      <x:c r="B160" s="2" t="str">
        <x:v>Injection details</x:v>
      </x:c>
      <x:c r="C160" s="2" t="str">
        <x:v>medication</x:v>
      </x:c>
      <x:c r="D160" s="2" t="str">
        <x:v>string</x:v>
      </x:c>
      <x:c r="E160" s="59" t="b">
        <x:v>0</x:v>
      </x:c>
      <x:c r="F160" s="2" t="str">
        <x:v>textarea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 t="str">
        <x:v>longest_sobriety_period</x:v>
      </x:c>
      <x:c r="B161" s="2" t="str">
        <x:v>Longest sobriety period</x:v>
      </x:c>
      <x:c r="C161" s="2" t="str">
        <x:v>substance_use</x:v>
      </x:c>
      <x:c r="D161" s="2" t="str">
        <x:v>string</x:v>
      </x:c>
      <x:c r="E161" s="59" t="b">
        <x:v>0</x:v>
      </x:c>
      <x:c r="F161" s="2" t="str">
        <x:v>select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H2"/>
  </x:mergeCells>
  <x:pageMargins left="0.7" right="0.7" top="0.75" bottom="0.75" header="0.3" footer="0.3"/>
</x:worksheet>
</file>