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50602010a478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tart Here" sheetId="1" r:id="Rf9e855ce1b754673"/>
    <sheet xmlns:r="http://schemas.openxmlformats.org/officeDocument/2006/relationships" name="01 Confirm the basics" sheetId="2" r:id="R3a223790d1584ee6"/>
    <sheet xmlns:r="http://schemas.openxmlformats.org/officeDocument/2006/relationships" name="02 How things are now" sheetId="3" r:id="R2b8c3995c13348c2"/>
    <sheet xmlns:r="http://schemas.openxmlformats.org/officeDocument/2006/relationships" name="03 A usual day" sheetId="4" r:id="R3071e861218445af"/>
    <sheet xmlns:r="http://schemas.openxmlformats.org/officeDocument/2006/relationships" name="04 Health and comfort" sheetId="5" r:id="R7c54bb215b0140f7"/>
    <sheet xmlns:r="http://schemas.openxmlformats.org/officeDocument/2006/relationships" name="05 Medication" sheetId="6" r:id="Ra8fa11ef59de4a86"/>
    <sheet xmlns:r="http://schemas.openxmlformats.org/officeDocument/2006/relationships" name="06 Living situation" sheetId="7" r:id="Rb8e0d0af5a5c4946"/>
    <sheet xmlns:r="http://schemas.openxmlformats.org/officeDocument/2006/relationships" name="07 Recent care and history" sheetId="8" r:id="R2624aab392ee47eb"/>
    <sheet xmlns:r="http://schemas.openxmlformats.org/officeDocument/2006/relationships" name="08 Substance use and recovery" sheetId="9" r:id="R91cd2bffc7a44ef7"/>
    <sheet xmlns:r="http://schemas.openxmlformats.org/officeDocument/2006/relationships" name="09 Safety and support" sheetId="10" r:id="R0158aeef1a634632"/>
    <sheet xmlns:r="http://schemas.openxmlformats.org/officeDocument/2006/relationships" name="10 Decisions and legal support" sheetId="11" r:id="Rdfcc5cb75f2347d5"/>
    <sheet xmlns:r="http://schemas.openxmlformats.org/officeDocument/2006/relationships" name="11 What matters next" sheetId="12" r:id="R1fe734867cbd45a8"/>
    <sheet xmlns:r="http://schemas.openxmlformats.org/officeDocument/2006/relationships" name="12 Anything else" sheetId="13" r:id="R3e5f6d6c3ae54e2b"/>
    <sheet xmlns:r="http://schemas.openxmlformats.org/officeDocument/2006/relationships" name="Pipeline_Data" sheetId="14" r:id="Rf373fc7a741a40c5" state="veryHidden"/>
    <sheet xmlns:r="http://schemas.openxmlformats.org/officeDocument/2006/relationships" name="Codebook" sheetId="15" r:id="R40bdbabde5c84b09"/>
  </sheets>
  <definedNames>
    <definedName name="_xlnm.Print_Area" localSheetId="1">'01 Confirm the basics'!$B$1:$E$16</definedName>
    <definedName name="_xlnm.Print_Titles" localSheetId="1">'01 Confirm the basics'!$1:$5</definedName>
    <definedName name="_xlnm.Print_Area" localSheetId="2">'02 How things are now'!$B$1:$E$38</definedName>
    <definedName name="_xlnm.Print_Titles" localSheetId="2">'02 How things are now'!$1:$5</definedName>
    <definedName name="_xlnm.Print_Area" localSheetId="3">'03 A usual day'!$B$1:$E$25</definedName>
    <definedName name="_xlnm.Print_Titles" localSheetId="3">'03 A usual day'!$1:$5</definedName>
    <definedName name="_xlnm.Print_Area" localSheetId="4">'04 Health and comfort'!$B$1:$E$26</definedName>
    <definedName name="_xlnm.Print_Titles" localSheetId="4">'04 Health and comfort'!$1:$5</definedName>
    <definedName name="_xlnm.Print_Area" localSheetId="5">'05 Medication'!$B$1:$E$30</definedName>
    <definedName name="_xlnm.Print_Titles" localSheetId="5">'05 Medication'!$1:$5</definedName>
    <definedName name="_xlnm.Print_Area" localSheetId="6">'06 Living situation'!$B$1:$E$9</definedName>
    <definedName name="_xlnm.Print_Titles" localSheetId="6">'06 Living situation'!$1:$5</definedName>
    <definedName name="_xlnm.Print_Area" localSheetId="7">'07 Recent care and history'!$B$1:$E$26</definedName>
    <definedName name="_xlnm.Print_Titles" localSheetId="7">'07 Recent care and history'!$1:$5</definedName>
    <definedName name="_xlnm.Print_Area" localSheetId="8">'08 Substance use and recovery'!$B$1:$E$29</definedName>
    <definedName name="_xlnm.Print_Titles" localSheetId="8">'08 Substance use and recovery'!$1:$5</definedName>
    <definedName name="_xlnm.Print_Area" localSheetId="9">'09 Safety and support'!$B$1:$E$41</definedName>
    <definedName name="_xlnm.Print_Titles" localSheetId="9">'09 Safety and support'!$1:$5</definedName>
    <definedName name="_xlnm.Print_Area" localSheetId="10">'10 Decisions and legal support'!$B$1:$E$39</definedName>
    <definedName name="_xlnm.Print_Titles" localSheetId="10">'10 Decisions and legal support'!$1:$5</definedName>
    <definedName name="_xlnm.Print_Area" localSheetId="11">'11 What matters next'!$B$1:$E$13</definedName>
    <definedName name="_xlnm.Print_Titles" localSheetId="11">'11 What matters next'!$1:$5</definedName>
    <definedName name="_xlnm.Print_Area" localSheetId="12">'12 Anything else'!$B$1:$E$36</definedName>
    <definedName name="_xlnm.Print_Titles" localSheetId="12">'12 Anything else'!$1:$5</definedName>
  </definedName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4">
    <numFmt numFmtId="200" formatCode="@"/>
    <numFmt numFmtId="201" formatCode="yyyy-mm-dd"/>
    <numFmt numFmtId="202" formatCode="0"/>
    <numFmt numFmtId="203" formatCode="0.00"/>
  </numFmts>
  <fonts count="11">
    <font>
      <sz val="11"/>
      <name val="Carlito"/>
    </font>
    <font>
      <sz val="12"/>
      <color rgb="FF233B32"/>
      <name val="Arial"/>
    </font>
    <font>
      <b/>
      <sz val="18"/>
      <color rgb="FF12644F"/>
      <name val="Arial"/>
    </font>
    <font>
      <b/>
      <sz val="11"/>
      <color rgb="FF596E63"/>
      <name val="Arial"/>
    </font>
    <font>
      <sz val="10"/>
      <color rgb="FF5D6C64"/>
      <name val="Arial"/>
    </font>
    <font>
      <b/>
      <sz val="11"/>
      <color rgb="FFFFFFFF"/>
      <name val="Arial"/>
    </font>
    <font>
      <b/>
      <sz val="12"/>
      <color rgb="FF233B32"/>
      <name val="Arial"/>
    </font>
    <font>
      <sz val="10"/>
      <color rgb="FF59675F"/>
      <name val="Arial"/>
    </font>
    <font>
      <sz val="12"/>
      <color rgb="FF233B32"/>
      <name val="Arial"/>
    </font>
    <font>
      <sz val="12"/>
      <color rgb="FF12644F"/>
      <name val="Arial"/>
    </font>
    <font>
      <b/>
      <sz val="16"/>
      <color rgb="FF12644F"/>
      <name val="Arial"/>
    </font>
  </fonts>
  <fills count="6">
    <fill>
      <patternFill patternType="none"/>
    </fill>
    <fill>
      <patternFill patternType="gray125"/>
    </fill>
    <fill>
      <patternFill patternType="solid">
        <fgColor rgb="FF12644F"/>
      </patternFill>
    </fill>
    <fill>
      <patternFill patternType="solid">
        <fgColor rgb="FFF0F7F3"/>
      </patternFill>
    </fill>
    <fill>
      <patternFill patternType="solid">
        <fgColor rgb="FFF5F6F5"/>
      </patternFill>
    </fill>
    <fill>
      <patternFill patternType="solid">
        <fgColor rgb="FFEFF1F0"/>
      </patternFill>
    </fill>
  </fills>
  <borders count="3">
    <border/>
    <border>
      <bottom style="thin">
        <color rgb="FFD8E3DC"/>
      </bottom>
    </border>
    <border>
      <bottom style="thin">
        <color rgb="FFE3EAE6"/>
      </bottom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5" fillId="2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vertical="top" wrapText="1"/>
    </xf>
    <xf numFmtId="0" fontId="7" fillId="0" borderId="0" xfId="0" applyNumberFormat="1" applyFont="1" applyFill="1" applyBorder="1" applyAlignment="1">
      <alignment vertical="top" wrapText="1"/>
    </xf>
    <xf numFmtId="0" fontId="7" fillId="4" borderId="0" xfId="0" applyNumberFormat="1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 applyAlignment="1">
      <alignment vertical="top" wrapText="1"/>
    </xf>
    <xf numFmtId="0" fontId="7" fillId="4" borderId="1" xfId="0" applyNumberFormat="1" applyFont="1" applyFill="1" applyBorder="1" applyAlignment="1">
      <alignment vertical="top" wrapText="1"/>
    </xf>
    <xf numFmtId="0" fontId="7" fillId="0" borderId="1" xfId="0" applyNumberFormat="1" applyFont="1" applyFill="1" applyBorder="1" applyAlignment="1">
      <alignment vertical="top" wrapText="1"/>
    </xf>
    <xf numFmtId="200" fontId="1" fillId="3" borderId="1" xfId="0" applyNumberFormat="1" applyFont="1" applyFill="1" applyBorder="1" applyAlignment="1">
      <alignment vertical="top" wrapText="1"/>
    </xf>
    <xf numFmtId="201" fontId="1" fillId="3" borderId="1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/>
    </xf>
    <xf numFmtId="0" fontId="1" fillId="5" borderId="0" xfId="0" applyNumberFormat="1" applyFont="1" applyFill="1" applyBorder="1" applyAlignment="1">
      <alignment vertical="top" wrapText="1"/>
    </xf>
    <xf numFmtId="0" fontId="8" fillId="0" borderId="1" xfId="0" applyNumberFormat="1" applyFont="1" applyFill="1" applyBorder="1" applyAlignment="1">
      <alignment vertical="top" wrapText="1"/>
    </xf>
    <xf numFmtId="0" fontId="1" fillId="5" borderId="1" xfId="0" applyNumberFormat="1" applyFont="1" applyFill="1" applyBorder="1" applyAlignment="1">
      <alignment vertical="top" wrapText="1"/>
    </xf>
    <xf numFmtId="200" fontId="1" fillId="5" borderId="1" xfId="0" applyNumberFormat="1" applyFont="1" applyFill="1" applyBorder="1" applyAlignment="1">
      <alignment vertical="top" wrapText="1"/>
    </xf>
    <xf numFmtId="200" fontId="1" fillId="0" borderId="0" xfId="0" applyNumberFormat="1" applyFont="1" applyFill="1" applyBorder="1" applyAlignment="1">
      <alignment vertical="top" wrapText="1"/>
    </xf>
    <xf numFmtId="202" fontId="1" fillId="3" borderId="1" xfId="0" applyNumberFormat="1" applyFont="1" applyFill="1" applyBorder="1" applyAlignment="1">
      <alignment vertical="top" wrapText="1"/>
    </xf>
    <xf numFmtId="203" fontId="1" fillId="5" borderId="1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 applyAlignment="1">
      <alignment vertical="top" wrapText="1"/>
    </xf>
    <xf numFmtId="0" fontId="9" fillId="0" borderId="2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horizontal="center" vertical="top" wrapText="1"/>
    </xf>
    <xf numFmtId="202" fontId="1" fillId="0" borderId="2" xfId="0" applyNumberFormat="1" applyFont="1" applyFill="1" applyBorder="1" applyAlignment="1">
      <alignment horizontal="center" vertical="top" wrapText="1"/>
    </xf>
    <xf numFmtId="0" fontId="10" fillId="0" borderId="0" xfId="0" applyNumberFormat="1" applyFont="1" applyFill="1" applyBorder="1" applyAlignment="1">
      <alignment vertical="top" wrapText="1"/>
    </xf>
    <xf applyProtection="1" numFmtId="0" fontId="0" fillId="0" borderId="0" xfId="0">
      <protection locked="0"/>
    </xf>
    <xf applyProtection="1" numFmtId="0" fontId="1" fillId="0" borderId="0" xfId="0" applyNumberFormat="1" applyFont="1" applyFill="1" applyBorder="1">
      <protection locked="0"/>
    </xf>
    <xf applyProtection="1" numFmtId="0" fontId="1" fillId="0" borderId="0" xfId="0" applyNumberFormat="1" applyFont="1" applyFill="1" applyBorder="1" applyAlignment="1">
      <alignment vertical="top"/>
      <protection locked="0"/>
    </xf>
    <xf applyProtection="1" numFmtId="0" fontId="1" fillId="0" borderId="0" xfId="0" applyNumberFormat="1" applyFont="1" applyFill="1" applyBorder="1" applyAlignment="1">
      <alignment vertical="top" wrapText="1"/>
      <protection locked="0"/>
    </xf>
    <xf applyProtection="1" numFmtId="0" fontId="2" fillId="0" borderId="0" xfId="0" applyNumberFormat="1" applyFont="1" applyFill="1" applyBorder="1" applyAlignment="1">
      <alignment vertical="top" wrapText="1"/>
      <protection locked="0"/>
    </xf>
    <xf applyProtection="1" numFmtId="0" fontId="3" fillId="0" borderId="0" xfId="0" applyNumberFormat="1" applyFont="1" applyFill="1" applyBorder="1" applyAlignment="1">
      <alignment vertical="top" wrapText="1"/>
      <protection locked="0"/>
    </xf>
    <xf applyProtection="1" numFmtId="0" fontId="4" fillId="0" borderId="0" xfId="0" applyNumberFormat="1" applyFont="1" applyFill="1" applyBorder="1" applyAlignment="1">
      <alignment vertical="top" wrapText="1"/>
      <protection locked="0"/>
    </xf>
    <xf applyProtection="1" numFmtId="0" fontId="1" fillId="2" borderId="0" xfId="0" applyNumberFormat="1" applyFont="1" applyFill="1" applyBorder="1" applyAlignment="1">
      <alignment vertical="top" wrapText="1"/>
      <protection locked="0"/>
    </xf>
    <xf applyProtection="1" numFmtId="0" fontId="5" fillId="2" borderId="0" xfId="0" applyNumberFormat="1" applyFont="1" applyFill="1" applyBorder="1" applyAlignment="1">
      <alignment vertical="top" wrapText="1"/>
      <protection locked="0"/>
    </xf>
    <xf applyProtection="1" numFmtId="0" fontId="6" fillId="0" borderId="0" xfId="0" applyNumberFormat="1" applyFont="1" applyFill="1" applyBorder="1" applyAlignment="1">
      <alignment vertical="top" wrapText="1"/>
      <protection locked="0"/>
    </xf>
    <xf applyProtection="1" numFmtId="0" fontId="1" fillId="3" borderId="0" xfId="0" applyNumberFormat="1" applyFont="1" applyFill="1" applyBorder="1" applyAlignment="1">
      <alignment vertical="top" wrapText="1"/>
      <protection locked="0"/>
    </xf>
    <xf applyProtection="1" numFmtId="0" fontId="7" fillId="0" borderId="0" xfId="0" applyNumberFormat="1" applyFont="1" applyFill="1" applyBorder="1" applyAlignment="1">
      <alignment vertical="top" wrapText="1"/>
      <protection locked="0"/>
    </xf>
    <xf applyProtection="1" numFmtId="0" fontId="7" fillId="4" borderId="0" xfId="0" applyNumberFormat="1" applyFont="1" applyFill="1" applyBorder="1" applyAlignment="1">
      <alignment vertical="top" wrapText="1"/>
      <protection locked="0"/>
    </xf>
    <xf applyProtection="1" numFmtId="0" fontId="6" fillId="0" borderId="1" xfId="0" applyNumberFormat="1" applyFont="1" applyFill="1" applyBorder="1" applyAlignment="1">
      <alignment vertical="top" wrapText="1"/>
      <protection locked="0"/>
    </xf>
    <xf applyProtection="1" numFmtId="0" fontId="1" fillId="3" borderId="1" xfId="0" applyNumberFormat="1" applyFont="1" applyFill="1" applyBorder="1" applyAlignment="1">
      <alignment vertical="top" wrapText="1"/>
      <protection locked="0"/>
    </xf>
    <xf applyProtection="1" numFmtId="0" fontId="7" fillId="4" borderId="1" xfId="0" applyNumberFormat="1" applyFont="1" applyFill="1" applyBorder="1" applyAlignment="1">
      <alignment vertical="top" wrapText="1"/>
      <protection locked="0"/>
    </xf>
    <xf applyProtection="1" numFmtId="0" fontId="7" fillId="0" borderId="1" xfId="0" applyNumberFormat="1" applyFont="1" applyFill="1" applyBorder="1" applyAlignment="1">
      <alignment vertical="top" wrapText="1"/>
      <protection locked="0"/>
    </xf>
    <xf applyProtection="1" numFmtId="200" fontId="1" fillId="3" borderId="1" xfId="0" applyNumberFormat="1" applyFont="1" applyFill="1" applyBorder="1" applyAlignment="1">
      <alignment vertical="top" wrapText="1"/>
      <protection locked="0"/>
    </xf>
    <xf applyProtection="1" numFmtId="201" fontId="1" fillId="3" borderId="1" xfId="0" applyNumberFormat="1" applyFont="1" applyFill="1" applyBorder="1" applyAlignment="1">
      <alignment vertical="top" wrapText="1"/>
      <protection locked="0"/>
    </xf>
    <xf applyProtection="1" numFmtId="0" fontId="8" fillId="0" borderId="0" xfId="0" applyNumberFormat="1" applyFont="1" applyFill="1" applyBorder="1" applyAlignment="1">
      <alignment vertical="top" wrapText="1"/>
      <protection locked="0"/>
    </xf>
    <xf applyProtection="1" numFmtId="0" fontId="1" fillId="5" borderId="0" xfId="0" applyNumberFormat="1" applyFont="1" applyFill="1" applyBorder="1" applyAlignment="1">
      <alignment vertical="top" wrapText="1"/>
      <protection locked="0"/>
    </xf>
    <xf applyProtection="1" numFmtId="0" fontId="8" fillId="0" borderId="1" xfId="0" applyNumberFormat="1" applyFont="1" applyFill="1" applyBorder="1" applyAlignment="1">
      <alignment vertical="top" wrapText="1"/>
      <protection locked="0"/>
    </xf>
    <xf applyProtection="1" numFmtId="0" fontId="1" fillId="5" borderId="1" xfId="0" applyNumberFormat="1" applyFont="1" applyFill="1" applyBorder="1" applyAlignment="1">
      <alignment vertical="top" wrapText="1"/>
      <protection locked="0"/>
    </xf>
    <xf applyProtection="1" numFmtId="200" fontId="1" fillId="5" borderId="1" xfId="0" applyNumberFormat="1" applyFont="1" applyFill="1" applyBorder="1" applyAlignment="1">
      <alignment vertical="top" wrapText="1"/>
      <protection locked="0"/>
    </xf>
    <xf applyProtection="1" numFmtId="200" fontId="1" fillId="0" borderId="0" xfId="0" applyNumberFormat="1" applyFont="1" applyFill="1" applyBorder="1" applyAlignment="1">
      <alignment vertical="top" wrapText="1"/>
      <protection locked="0"/>
    </xf>
    <xf applyProtection="1" numFmtId="202" fontId="1" fillId="3" borderId="1" xfId="0" applyNumberFormat="1" applyFont="1" applyFill="1" applyBorder="1" applyAlignment="1">
      <alignment vertical="top" wrapText="1"/>
      <protection locked="0"/>
    </xf>
    <xf applyProtection="1" numFmtId="203" fontId="1" fillId="5" borderId="1" xfId="0" applyNumberFormat="1" applyFont="1" applyFill="1" applyBorder="1" applyAlignment="1">
      <alignment vertical="top" wrapText="1"/>
      <protection locked="0"/>
    </xf>
    <xf applyProtection="1" numFmtId="0" fontId="9" fillId="0" borderId="0" xfId="0" applyNumberFormat="1" applyFont="1" applyFill="1" applyBorder="1" applyAlignment="1">
      <alignment vertical="top" wrapText="1"/>
      <protection locked="0"/>
    </xf>
    <xf applyProtection="1" numFmtId="0" fontId="9" fillId="0" borderId="2" xfId="0" applyNumberFormat="1" applyFont="1" applyFill="1" applyBorder="1" applyAlignment="1">
      <alignment vertical="top" wrapText="1"/>
      <protection locked="0"/>
    </xf>
    <xf applyProtection="1" numFmtId="0" fontId="1" fillId="0" borderId="2" xfId="0" applyNumberFormat="1" applyFont="1" applyFill="1" applyBorder="1" applyAlignment="1">
      <alignment vertical="top" wrapText="1"/>
      <protection locked="0"/>
    </xf>
    <xf applyProtection="1" numFmtId="0" fontId="1" fillId="0" borderId="2" xfId="0" applyNumberFormat="1" applyFont="1" applyFill="1" applyBorder="1" applyAlignment="1">
      <alignment horizontal="center" vertical="top" wrapText="1"/>
      <protection locked="0"/>
    </xf>
    <xf applyProtection="1" numFmtId="202" fontId="1" fillId="0" borderId="2" xfId="0" applyNumberFormat="1" applyFont="1" applyFill="1" applyBorder="1" applyAlignment="1">
      <alignment horizontal="center" vertical="top" wrapText="1"/>
      <protection locked="0"/>
    </xf>
    <xf applyProtection="1" numFmtId="0" fontId="10" fillId="0" borderId="0" xfId="0" applyNumberFormat="1" applyFont="1" applyFill="1" applyBorder="1" applyAlignment="1">
      <alignment vertical="top" wrapText="1"/>
      <protection locked="0"/>
    </xf>
  </cellXfs>
  <cellStyles count="1">
    <cellStyle name="Normal" xfId="0"/>
  </cellStyles>
  <dxfs count="386"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233B32"/>
      </font>
      <fill>
        <patternFill patternType="solid">
          <bgColor rgb="FFFFF6DF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color rgb="FF68756F"/>
      </font>
      <fill>
        <patternFill patternType="solid">
          <bgColor rgb="FFF1F3F2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  <dxf>
      <font>
        <b/>
        <color rgb="FF70511D"/>
      </font>
      <fill>
        <patternFill patternType="solid">
          <bgColor rgb="FFFFF0CA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e9fd5673e422b" /><Relationship Type="http://schemas.openxmlformats.org/officeDocument/2006/relationships/theme" Target="/xl/theme/theme1.xml" Id="R78669b4780284f92" /><Relationship Type="http://schemas.openxmlformats.org/officeDocument/2006/relationships/sharedStrings" Target="/xl/sharedStrings.xml" Id="R8c593442cf374bc5" /><Relationship Type="http://schemas.openxmlformats.org/officeDocument/2006/relationships/worksheet" Target="/xl/worksheets/sheet1.xml" Id="Rf9e855ce1b754673" /><Relationship Type="http://schemas.openxmlformats.org/officeDocument/2006/relationships/worksheet" Target="/xl/worksheets/sheet2.xml" Id="R3a223790d1584ee6" /><Relationship Type="http://schemas.openxmlformats.org/officeDocument/2006/relationships/worksheet" Target="/xl/worksheets/sheet3.xml" Id="R2b8c3995c13348c2" /><Relationship Type="http://schemas.openxmlformats.org/officeDocument/2006/relationships/worksheet" Target="/xl/worksheets/sheet4.xml" Id="R3071e861218445af" /><Relationship Type="http://schemas.openxmlformats.org/officeDocument/2006/relationships/worksheet" Target="/xl/worksheets/sheet5.xml" Id="R7c54bb215b0140f7" /><Relationship Type="http://schemas.openxmlformats.org/officeDocument/2006/relationships/worksheet" Target="/xl/worksheets/sheet6.xml" Id="Ra8fa11ef59de4a86" /><Relationship Type="http://schemas.openxmlformats.org/officeDocument/2006/relationships/worksheet" Target="/xl/worksheets/sheet7.xml" Id="Rb8e0d0af5a5c4946" /><Relationship Type="http://schemas.openxmlformats.org/officeDocument/2006/relationships/worksheet" Target="/xl/worksheets/sheet8.xml" Id="R2624aab392ee47eb" /><Relationship Type="http://schemas.openxmlformats.org/officeDocument/2006/relationships/worksheet" Target="/xl/worksheets/sheet9.xml" Id="R91cd2bffc7a44ef7" /><Relationship Type="http://schemas.openxmlformats.org/officeDocument/2006/relationships/worksheet" Target="/xl/worksheets/sheet10.xml" Id="R0158aeef1a634632" /><Relationship Type="http://schemas.openxmlformats.org/officeDocument/2006/relationships/worksheet" Target="/xl/worksheets/sheet11.xml" Id="Rdfcc5cb75f2347d5" /><Relationship Type="http://schemas.openxmlformats.org/officeDocument/2006/relationships/worksheet" Target="/xl/worksheets/sheet12.xml" Id="R1fe734867cbd45a8" /><Relationship Type="http://schemas.openxmlformats.org/officeDocument/2006/relationships/worksheet" Target="/xl/worksheets/sheet13.xml" Id="R3e5f6d6c3ae54e2b" /><Relationship Type="http://schemas.openxmlformats.org/officeDocument/2006/relationships/worksheet" Target="/xl/worksheets/sheet14.xml" Id="Rf373fc7a741a40c5" /><Relationship Type="http://schemas.openxmlformats.org/officeDocument/2006/relationships/worksheet" Target="/xl/worksheets/sheet15.xml" Id="R40bdbabde5c84b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2644F"/>
  </sheetPr>
  <sheetViews>
    <sheetView showGridLines="0" workbookViewId="0"/>
  </sheetViews>
  <sheetFormatPr defaultRowHeight="15"/>
  <cols>
    <col min="1" max="1" width="3" hidden="0" customWidth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Assessment working copy</v>
      </c>
      <c r="C1" s="4"/>
      <c r="D1" s="4"/>
      <c r="E1" s="4"/>
    </row>
    <row r="2" ht="24" customHeight="1">
      <c r="A2" s="3"/>
      <c r="B2" s="3" t="str">
        <v>Download from the assessment to include current answers.</v>
      </c>
      <c r="C2" s="3"/>
      <c r="D2" s="3"/>
      <c r="E2" s="3"/>
    </row>
    <row r="3" ht="24" customHeight="1">
      <c r="A3" s="3"/>
      <c r="B3" s="3" t="str">
        <v>The saved time will appear here.</v>
      </c>
      <c r="C3" s="3"/>
      <c r="D3" s="3"/>
      <c r="E3" s="3"/>
    </row>
    <row r="4">
      <c r="A4" s="3"/>
      <c r="B4" s="3"/>
      <c r="C4" s="3"/>
      <c r="D4" s="3"/>
      <c r="E4" s="3"/>
    </row>
    <row r="5" ht="29" customHeight="1">
      <c r="A5" s="3"/>
      <c r="B5" s="3" t="str">
        <v>1. Open your current section below. The order matches the assessment in Pipeline.</v>
      </c>
      <c r="C5" s="3"/>
      <c r="D5" s="3"/>
      <c r="E5" s="3"/>
    </row>
    <row r="6" ht="29" customHeight="1">
      <c r="A6" s="3"/>
      <c r="B6" s="3" t="str">
        <v>2. Edit the Answer cells. Choose from dropdowns; enter list items on separate lines.</v>
      </c>
      <c r="C6" s="3"/>
      <c r="D6" s="3"/>
      <c r="E6" s="3"/>
    </row>
    <row r="7" ht="29" customHeight="1">
      <c r="A7" s="3"/>
      <c r="B7" s="3" t="str">
        <v>3. Check amber rows, save this file, then upload it to the same assessment and review the changes.</v>
      </c>
      <c r="C7" s="3"/>
      <c r="D7" s="3"/>
      <c r="E7" s="3"/>
    </row>
    <row r="8" ht="29" customHeight="1">
      <c r="A8" s="3"/>
      <c r="B8" s="3" t="str">
        <v>Blank = not answered. If you cannot assess a question, select Unable to assess and explain why beside it.</v>
      </c>
      <c r="C8" s="3"/>
      <c r="D8" s="3"/>
      <c r="E8" s="3"/>
    </row>
    <row r="9" ht="29" customHeight="1">
      <c r="A9" s="3"/>
      <c r="B9" s="3" t="str">
        <v>Not applicable = skip. Review previous answer = an earlier detail no longer fits; it has not been deleted.</v>
      </c>
      <c r="C9" s="3"/>
      <c r="D9" s="3"/>
      <c r="E9" s="3"/>
    </row>
    <row r="10" ht="29" customHeight="1">
      <c r="A10" s="3"/>
      <c r="B10" s="3" t="str">
        <v>This copy does not update itself or sign the assessment. Keep it in approved secure storage.</v>
      </c>
      <c r="C10" s="3"/>
      <c r="D10" s="3"/>
      <c r="E10" s="3"/>
    </row>
    <row r="11" ht="29" customHeight="1">
      <c r="A11" s="3"/>
      <c r="B11" s="3" t="str">
        <v>Long notes stay in the cell. Expand its row to read more; existing continuation rows remain mapped.</v>
      </c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 ht="32" customHeight="1">
      <c r="A15" s="3"/>
      <c r="B15" s="8" t="str">
        <v>Open section</v>
      </c>
      <c r="C15" s="8" t="str">
        <v>Missing answers / explanations</v>
      </c>
      <c r="D15" s="8" t="str">
        <v>Previous details to review</v>
      </c>
      <c r="E15" s="8" t="str"/>
    </row>
    <row r="16" ht="32" customHeight="1">
      <c r="A16" s="3"/>
      <c r="B16" s="28" t="str">
        <v>1. Confirm the basics</v>
      </c>
      <c r="C16" s="31" t="n">
        <f>COUNTIF('01 Confirm the basics'!E6:E16,"Needs answer")+COUNTIF('01 Confirm the basics'!E6:E16,"Explain why")</f>
        <v>8</v>
      </c>
      <c r="D16" s="31" t="n">
        <f>COUNTIF('01 Confirm the basics'!E6:E16,"Review previous answer")+COUNTIF('01 Confirm the basics'!E6:E16,"Review previous reason")</f>
        <v>0</v>
      </c>
      <c r="E16" s="30"/>
    </row>
    <row r="17" ht="32" customHeight="1">
      <c r="A17" s="3"/>
      <c r="B17" s="28" t="str">
        <v>2. How things are now</v>
      </c>
      <c r="C17" s="31" t="n">
        <f>COUNTIF('02 How things are now'!E6:E38,"Needs answer")+COUNTIF('02 How things are now'!E6:E38,"Explain why")</f>
        <v>2</v>
      </c>
      <c r="D17" s="31" t="n">
        <f>COUNTIF('02 How things are now'!E6:E38,"Review previous answer")+COUNTIF('02 How things are now'!E6:E38,"Review previous reason")</f>
        <v>0</v>
      </c>
      <c r="E17" s="30"/>
    </row>
    <row r="18" ht="32" customHeight="1">
      <c r="A18" s="3"/>
      <c r="B18" s="28" t="str">
        <v>3. A usual day</v>
      </c>
      <c r="C18" s="31" t="n">
        <f>COUNTIF('03 A usual day'!E6:E25,"Needs answer")+COUNTIF('03 A usual day'!E6:E25,"Explain why")</f>
        <v>9</v>
      </c>
      <c r="D18" s="31" t="n">
        <f>COUNTIF('03 A usual day'!E6:E25,"Review previous answer")+COUNTIF('03 A usual day'!E6:E25,"Review previous reason")</f>
        <v>0</v>
      </c>
      <c r="E18" s="30"/>
    </row>
    <row r="19" ht="32" customHeight="1">
      <c r="A19" s="3"/>
      <c r="B19" s="28" t="str">
        <v>4. Health and comfort</v>
      </c>
      <c r="C19" s="31" t="n">
        <f>COUNTIF('04 Health and comfort'!E6:E26,"Needs answer")+COUNTIF('04 Health and comfort'!E6:E26,"Explain why")</f>
        <v>14</v>
      </c>
      <c r="D19" s="31" t="n">
        <f>COUNTIF('04 Health and comfort'!E6:E26,"Review previous answer")+COUNTIF('04 Health and comfort'!E6:E26,"Review previous reason")</f>
        <v>0</v>
      </c>
      <c r="E19" s="30"/>
    </row>
    <row r="20" ht="32" customHeight="1">
      <c r="A20" s="3"/>
      <c r="B20" s="28" t="str">
        <v>5. Medication</v>
      </c>
      <c r="C20" s="31" t="n">
        <f>COUNTIF('05 Medication'!E6:E30,"Needs answer")+COUNTIF('05 Medication'!E6:E30,"Explain why")</f>
        <v>2</v>
      </c>
      <c r="D20" s="31" t="n">
        <f>COUNTIF('05 Medication'!E6:E30,"Review previous answer")+COUNTIF('05 Medication'!E6:E30,"Review previous reason")</f>
        <v>0</v>
      </c>
      <c r="E20" s="30"/>
    </row>
    <row r="21" ht="32" customHeight="1">
      <c r="A21" s="3"/>
      <c r="B21" s="28" t="str">
        <v>6. Living situation</v>
      </c>
      <c r="C21" s="31" t="n">
        <f>COUNTIF('06 Living situation'!E6:E9,"Needs answer")+COUNTIF('06 Living situation'!E6:E9,"Explain why")</f>
        <v>0</v>
      </c>
      <c r="D21" s="31" t="n">
        <f>COUNTIF('06 Living situation'!E6:E9,"Review previous answer")+COUNTIF('06 Living situation'!E6:E9,"Review previous reason")</f>
        <v>0</v>
      </c>
      <c r="E21" s="30"/>
    </row>
    <row r="22" ht="32" customHeight="1">
      <c r="A22" s="3"/>
      <c r="B22" s="28" t="str">
        <v>7. Recent care and history</v>
      </c>
      <c r="C22" s="31" t="n">
        <f>COUNTIF('07 Recent care and history'!E6:E26,"Needs answer")+COUNTIF('07 Recent care and history'!E6:E26,"Explain why")</f>
        <v>0</v>
      </c>
      <c r="D22" s="31" t="n">
        <f>COUNTIF('07 Recent care and history'!E6:E26,"Review previous answer")+COUNTIF('07 Recent care and history'!E6:E26,"Review previous reason")</f>
        <v>0</v>
      </c>
      <c r="E22" s="30"/>
    </row>
    <row r="23" ht="32" customHeight="1">
      <c r="A23" s="3"/>
      <c r="B23" s="28" t="str">
        <v>8. Substance use and recovery</v>
      </c>
      <c r="C23" s="31" t="n">
        <f>COUNTIF('08 Substance use and recovery'!E6:E29,"Needs answer")+COUNTIF('08 Substance use and recovery'!E6:E29,"Explain why")</f>
        <v>2</v>
      </c>
      <c r="D23" s="31" t="n">
        <f>COUNTIF('08 Substance use and recovery'!E6:E29,"Review previous answer")+COUNTIF('08 Substance use and recovery'!E6:E29,"Review previous reason")</f>
        <v>0</v>
      </c>
      <c r="E23" s="30"/>
    </row>
    <row r="24" ht="32" customHeight="1">
      <c r="A24" s="3"/>
      <c r="B24" s="28" t="str">
        <v>9. Safety and support</v>
      </c>
      <c r="C24" s="31" t="n">
        <f>COUNTIF('09 Safety and support'!E6:E41,"Needs answer")+COUNTIF('09 Safety and support'!E6:E41,"Explain why")</f>
        <v>5</v>
      </c>
      <c r="D24" s="31" t="n">
        <f>COUNTIF('09 Safety and support'!E6:E41,"Review previous answer")+COUNTIF('09 Safety and support'!E6:E41,"Review previous reason")</f>
        <v>0</v>
      </c>
      <c r="E24" s="30"/>
    </row>
    <row r="25" ht="32" customHeight="1">
      <c r="A25" s="3"/>
      <c r="B25" s="28" t="str">
        <v>10. Decisions and legal support</v>
      </c>
      <c r="C25" s="31" t="n">
        <f>COUNTIF('10 Decisions and legal support'!E6:E39,"Needs answer")+COUNTIF('10 Decisions and legal support'!E6:E39,"Explain why")</f>
        <v>4</v>
      </c>
      <c r="D25" s="31" t="n">
        <f>COUNTIF('10 Decisions and legal support'!E6:E39,"Review previous answer")+COUNTIF('10 Decisions and legal support'!E6:E39,"Review previous reason")</f>
        <v>0</v>
      </c>
      <c r="E25" s="30"/>
    </row>
    <row r="26" ht="32" customHeight="1">
      <c r="A26" s="3"/>
      <c r="B26" s="28" t="str">
        <v>11. What matters next</v>
      </c>
      <c r="C26" s="31" t="n">
        <f>COUNTIF('11 What matters next'!E6:E13,"Needs answer")+COUNTIF('11 What matters next'!E6:E13,"Explain why")</f>
        <v>0</v>
      </c>
      <c r="D26" s="31" t="n">
        <f>COUNTIF('11 What matters next'!E6:E13,"Review previous answer")+COUNTIF('11 What matters next'!E6:E13,"Review previous reason")</f>
        <v>0</v>
      </c>
      <c r="E26" s="30"/>
    </row>
    <row r="27" ht="32" customHeight="1">
      <c r="A27" s="3"/>
      <c r="B27" s="28" t="str">
        <v>12. Anything else</v>
      </c>
      <c r="C27" s="31" t="n">
        <f>COUNTIF('12 Anything else'!E6:E13,"Needs answer")+COUNTIF('12 Anything else'!E6:E13,"Explain why")</f>
        <v>0</v>
      </c>
      <c r="D27" s="31" t="n">
        <f>COUNTIF('12 Anything else'!E6:E13,"Review previous answer")+COUNTIF('12 Anything else'!E6:E13,"Review previous reason")</f>
        <v>0</v>
      </c>
      <c r="E27" s="30"/>
    </row>
  </sheetData>
  <mergeCells>
    <mergeCell ref="B1:E1"/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</mergeCells>
  <conditionalFormatting sqref="C16:D16">
    <cfRule type="cellIs" dxfId="362" priority="1" operator="greaterThan">
      <formula>0</formula>
    </cfRule>
  </conditionalFormatting>
  <conditionalFormatting sqref="C17:D17">
    <cfRule type="cellIs" dxfId="363" priority="2" operator="greaterThan">
      <formula>0</formula>
    </cfRule>
  </conditionalFormatting>
  <conditionalFormatting sqref="C18:D18">
    <cfRule type="cellIs" dxfId="364" priority="3" operator="greaterThan">
      <formula>0</formula>
    </cfRule>
  </conditionalFormatting>
  <conditionalFormatting sqref="C19:D19">
    <cfRule type="cellIs" dxfId="365" priority="4" operator="greaterThan">
      <formula>0</formula>
    </cfRule>
  </conditionalFormatting>
  <conditionalFormatting sqref="C20:D20">
    <cfRule type="cellIs" dxfId="366" priority="5" operator="greaterThan">
      <formula>0</formula>
    </cfRule>
  </conditionalFormatting>
  <conditionalFormatting sqref="C21:D21">
    <cfRule type="cellIs" dxfId="367" priority="6" operator="greaterThan">
      <formula>0</formula>
    </cfRule>
  </conditionalFormatting>
  <conditionalFormatting sqref="C22:D22">
    <cfRule type="cellIs" dxfId="368" priority="7" operator="greaterThan">
      <formula>0</formula>
    </cfRule>
  </conditionalFormatting>
  <conditionalFormatting sqref="C23:D23">
    <cfRule type="cellIs" dxfId="369" priority="8" operator="greaterThan">
      <formula>0</formula>
    </cfRule>
  </conditionalFormatting>
  <conditionalFormatting sqref="C24:D24">
    <cfRule type="cellIs" dxfId="370" priority="9" operator="greaterThan">
      <formula>0</formula>
    </cfRule>
  </conditionalFormatting>
  <conditionalFormatting sqref="C25:D25">
    <cfRule type="cellIs" dxfId="371" priority="10" operator="greaterThan">
      <formula>0</formula>
    </cfRule>
  </conditionalFormatting>
  <conditionalFormatting sqref="C26:D26">
    <cfRule type="cellIs" dxfId="372" priority="11" operator="greaterThan">
      <formula>0</formula>
    </cfRule>
  </conditionalFormatting>
  <conditionalFormatting sqref="C27:D27">
    <cfRule type="cellIs" dxfId="373" priority="12" operator="greaterThan">
      <formula>0</formula>
    </cfRule>
  </conditionalFormatting>
  <hyperlinks>
    <hyperlink ref="B16" location="'01 Confirm the basics'!B1"/>
    <hyperlink ref="B17" location="'02 How things are now'!B1"/>
    <hyperlink ref="B18" location="'03 A usual day'!B1"/>
    <hyperlink ref="B19" location="'04 Health and comfort'!B1"/>
    <hyperlink ref="B20" location="'05 Medication'!B1"/>
    <hyperlink ref="B21" location="'06 Living situation'!B1"/>
    <hyperlink ref="B22" location="'07 Recent care and history'!B1"/>
    <hyperlink ref="B23" location="'08 Substance use and recovery'!B1"/>
    <hyperlink ref="B24" location="'09 Safety and support'!B1"/>
    <hyperlink ref="B25" location="'10 Decisions and legal support'!B1"/>
    <hyperlink ref="B26" location="'11 What matters next'!B1"/>
    <hyperlink ref="B27" location="'12 Anything else'!B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Confirm the basics</v>
      </c>
      <c r="C1" s="4"/>
      <c r="D1" s="5" t="str">
        <v>Section 1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34" customHeight="1">
      <c r="A6" s="3" t="str">
        <v>resident_name</v>
      </c>
      <c r="B6" s="13" t="str">
        <v>Resident name</v>
      </c>
      <c r="C6" t="str" s="50"/>
      <c r="D6" t="str" s="48"/>
      <c r="E6" s="16" t="str">
        <f>IF(NOT(TRUE),IF(OR(LEN(TRIM(C6))&gt;0,LEN(TRIM(D6))&gt;0),"Review previous answer","Not applicable"),IF(AND(LEN(TRIM(D6))&gt;0,NOT(FALSE)),"Review previous reason",IF(AND(FALSE,NOT(LEN(TRIM(D6))&gt;0)),"Explain why",IF(LEN(TRIM(C6))&gt;0,"Answered",IF(TRUE,"Needs answer","Optional")))))</f>
        <v>Needs answer</v>
      </c>
    </row>
    <row r="7" ht="34" customHeight="1">
      <c r="A7" s="3" t="str">
        <v>date_of_birth</v>
      </c>
      <c r="B7" s="13" t="str">
        <v>Date of birth</v>
      </c>
      <c r="C7" t="str" s="51"/>
      <c r="D7" t="str" s="48"/>
      <c r="E7" s="16" t="str">
        <f>IF(NOT(TRUE),IF(OR(LEN(TRIM(C7))&gt;0,LEN(TRIM(D7))&gt;0),"Review previous answer","Not applicable"),IF(AND(LEN(TRIM(D7))&gt;0,NOT(FALSE)),"Review previous reason",IF(AND(FALSE,NOT(LEN(TRIM(D7))&gt;0)),"Explain why",IF(LEN(TRIM(C7))&gt;0,"Answered",IF(TRUE,"Needs answer","Optional")))))</f>
        <v>Needs answer</v>
      </c>
    </row>
    <row r="8" ht="34" customHeight="1">
      <c r="A8" s="3" t="str">
        <v>community</v>
      </c>
      <c r="B8" s="13" t="str">
        <v>Community</v>
      </c>
      <c r="C8" t="str" s="50"/>
      <c r="D8" t="str" s="48"/>
      <c r="E8" s="16" t="str">
        <f>IF(NOT(TRUE),IF(OR(LEN(TRIM(C8))&gt;0,LEN(TRIM(D8))&gt;0),"Review previous answer","Not applicable"),IF(AND(LEN(TRIM(D8))&gt;0,NOT(FALSE)),"Review previous reason",IF(AND(FALSE,NOT(LEN(TRIM(D8))&gt;0)),"Explain why",IF(LEN(TRIM(C8))&gt;0,"Answered",IF(TRUE,"Needs answer","Optional")))))</f>
        <v>Needs answer</v>
      </c>
    </row>
    <row r="9" ht="34" customHeight="1">
      <c r="A9" s="3" t="str">
        <v>assessment_date</v>
      </c>
      <c r="B9" s="13" t="str">
        <v>Date assessment performed</v>
      </c>
      <c r="C9" t="str" s="51"/>
      <c r="D9" t="str" s="48"/>
      <c r="E9" s="16" t="str">
        <f>IF(NOT(TRUE),IF(OR(LEN(TRIM(C9))&gt;0,LEN(TRIM(D9))&gt;0),"Review previous answer","Not applicable"),IF(AND(LEN(TRIM(D9))&gt;0,NOT(FALSE)),"Review previous reason",IF(AND(FALSE,NOT(LEN(TRIM(D9))&gt;0)),"Explain why",IF(LEN(TRIM(C9))&gt;0,"Answered",IF(TRUE,"Needs answer","Optional")))))</f>
        <v>Needs answer</v>
      </c>
    </row>
    <row r="10" ht="34" customHeight="1">
      <c r="A10" s="3" t="str">
        <v>referral_received_date</v>
      </c>
      <c r="B10" s="13" t="str">
        <v>Date referral received</v>
      </c>
      <c r="C10" t="str" s="51"/>
      <c r="D10" t="str" s="48"/>
      <c r="E10" s="16" t="str">
        <f>IF(NOT(TRUE),IF(OR(LEN(TRIM(C10))&gt;0,LEN(TRIM(D10))&gt;0),"Review previous answer","Not applicable"),IF(AND(LEN(TRIM(D10))&gt;0,NOT(FALSE)),"Review previous reason",IF(AND(FALSE,NOT(LEN(TRIM(D10))&gt;0)),"Explain why",IF(LEN(TRIM(C10))&gt;0,"Answered",IF(TRUE,"Needs answer","Optional")))))</f>
        <v>Needs answer</v>
      </c>
    </row>
    <row r="11" ht="34" customHeight="1">
      <c r="A11" s="3" t="str">
        <v>referrer_name</v>
      </c>
      <c r="B11" s="13" t="str">
        <v>Referrer</v>
      </c>
      <c r="C11" t="str" s="50"/>
      <c r="D11" t="str" s="48"/>
      <c r="E11" s="16" t="str">
        <f>IF(NOT(TRUE),IF(OR(LEN(TRIM(C11))&gt;0,LEN(TRIM(D11))&gt;0),"Review previous answer","Not applicable"),IF(AND(LEN(TRIM(D11))&gt;0,NOT(FALSE)),"Review previous reason",IF(AND(FALSE,NOT(LEN(TRIM(D11))&gt;0)),"Explain why",IF(LEN(TRIM(C11))&gt;0,"Answered",IF(TRUE,"Needs answer","Optional")))))</f>
        <v>Needs answer</v>
      </c>
    </row>
    <row r="12" ht="34" customHeight="1">
      <c r="A12" s="3" t="str">
        <v>referrer_contact</v>
      </c>
      <c r="B12" s="13" t="str">
        <v>Referrer contact</v>
      </c>
      <c r="C12" t="str" s="50"/>
      <c r="D12" t="str" s="48"/>
      <c r="E12" s="16" t="str">
        <f>IF(NOT(TRUE),IF(OR(LEN(TRIM(C12))&gt;0,LEN(TRIM(D12))&gt;0),"Review previous answer","Not applicable"),IF(AND(LEN(TRIM(D12))&gt;0,NOT(FALSE)),"Review previous reason",IF(AND(FALSE,NOT(LEN(TRIM(D12))&gt;0)),"Explain why",IF(LEN(TRIM(C12))&gt;0,"Answered",IF(TRUE,"Needs answer","Optional")))))</f>
        <v>Needs answer</v>
      </c>
    </row>
    <row r="13" ht="34" customHeight="1">
      <c r="A13" s="3" t="str">
        <v>current_location</v>
      </c>
      <c r="B13" s="13" t="str">
        <v>Where the client is now</v>
      </c>
      <c r="C13" t="str" s="50"/>
      <c r="D13" t="str" s="48"/>
      <c r="E13" s="16" t="str">
        <f>IF(NOT(TRUE),IF(OR(LEN(TRIM(C13))&gt;0,LEN(TRIM(D13))&gt;0),"Review previous answer","Not applicable"),IF(AND(LEN(TRIM(D13))&gt;0,NOT(FALSE)),"Review previous reason",IF(AND(FALSE,NOT(LEN(TRIM(D13))&gt;0)),"Explain why",IF(LEN(TRIM(C13))&gt;0,"Answered",IF(TRUE,"Needs answer","Optional")))))</f>
        <v>Needs answer</v>
      </c>
    </row>
    <row r="14" ht="34" customHeight="1">
      <c r="A14" s="3" t="str">
        <v>time_at_current_location</v>
      </c>
      <c r="B14" s="13" t="str">
        <v>Time at current location</v>
      </c>
      <c r="C14" t="str" s="50"/>
      <c r="D14" t="str" s="48"/>
      <c r="E14" s="16" t="str">
        <f>IF(NOT(TRUE),IF(OR(LEN(TRIM(C14))&gt;0,LEN(TRIM(D14))&gt;0),"Review previous answer","Not applicable"),IF(AND(LEN(TRIM(D14))&gt;0,NOT(FALSE)),"Review previous reason",IF(AND(FALSE,NOT(LEN(TRIM(D14))&gt;0)),"Explain why",IF(LEN(TRIM(C14))&gt;0,"Answered",IF(FALSE,"Needs answer","Optional")))))</f>
        <v>Optional</v>
      </c>
    </row>
    <row r="15" ht="39" customHeight="1" hidden="1">
      <c r="A15" s="3" t="str">
        <v>resident_number</v>
      </c>
      <c r="B15" s="21" t="inlineStr">
        <is>
          <r>
            <rPr>
              <b/>
              <sz val="12"/>
              <color rgb="FF233B32"/>
            </rPr>
            <t>Resident number</t>
          </r>
          <r>
            <rPr>
              <b val="0"/>
              <sz val="10"/>
              <color rgb="FF59675F"/>
            </rPr>
            <t xml:space="preserve">
Reference only.</t>
          </r>
        </is>
      </c>
      <c r="C15" s="23" t="str"/>
      <c r="D15" s="15" t="str"/>
      <c r="E15" s="16" t="str">
        <f>"Reference only"</f>
        <v>Reference only</v>
      </c>
    </row>
    <row r="16" ht="39" customHeight="1">
      <c r="A16" s="3" t="str">
        <v>assessor</v>
      </c>
      <c r="B16" s="21" t="inlineStr">
        <is>
          <r>
            <rPr>
              <b/>
              <sz val="12"/>
              <color rgb="FF233B32"/>
            </rPr>
            <t>Assessor</t>
          </r>
          <r>
            <rPr>
              <b val="0"/>
              <sz val="10"/>
              <color rgb="FF59675F"/>
            </rPr>
            <t xml:space="preserve">
Reference only.</t>
          </r>
        </is>
      </c>
      <c r="C16" s="23" t="str"/>
      <c r="D16" s="15" t="str"/>
      <c r="E16" s="16" t="str">
        <f>"Reference only"</f>
        <v>Reference only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0" priority="1">
      <formula>$E6="Not applicable"</formula>
    </cfRule>
  </conditionalFormatting>
  <conditionalFormatting sqref="E6:E6">
    <cfRule type="expression" dxfId="1" priority="2">
      <formula>OR($E6="Needs answer",$E6="Explain why",LEFT($E6,6)="Review")</formula>
    </cfRule>
  </conditionalFormatting>
  <conditionalFormatting sqref="B7:E7">
    <cfRule type="expression" dxfId="2" priority="3">
      <formula>$E7="Not applicable"</formula>
    </cfRule>
  </conditionalFormatting>
  <conditionalFormatting sqref="E7:E7">
    <cfRule type="expression" dxfId="3" priority="4">
      <formula>OR($E7="Needs answer",$E7="Explain why",LEFT($E7,6)="Review")</formula>
    </cfRule>
  </conditionalFormatting>
  <conditionalFormatting sqref="B8:E8">
    <cfRule type="expression" dxfId="4" priority="5">
      <formula>$E8="Not applicable"</formula>
    </cfRule>
  </conditionalFormatting>
  <conditionalFormatting sqref="E8:E8">
    <cfRule type="expression" dxfId="5" priority="6">
      <formula>OR($E8="Needs answer",$E8="Explain why",LEFT($E8,6)="Review")</formula>
    </cfRule>
  </conditionalFormatting>
  <conditionalFormatting sqref="B9:E9">
    <cfRule type="expression" dxfId="6" priority="7">
      <formula>$E9="Not applicable"</formula>
    </cfRule>
  </conditionalFormatting>
  <conditionalFormatting sqref="E9:E9">
    <cfRule type="expression" dxfId="7" priority="8">
      <formula>OR($E9="Needs answer",$E9="Explain why",LEFT($E9,6)="Review")</formula>
    </cfRule>
  </conditionalFormatting>
  <conditionalFormatting sqref="B10:E10">
    <cfRule type="expression" dxfId="8" priority="9">
      <formula>$E10="Not applicable"</formula>
    </cfRule>
  </conditionalFormatting>
  <conditionalFormatting sqref="E10:E10">
    <cfRule type="expression" dxfId="9" priority="10">
      <formula>OR($E10="Needs answer",$E10="Explain why",LEFT($E10,6)="Review")</formula>
    </cfRule>
  </conditionalFormatting>
  <conditionalFormatting sqref="B11:E11">
    <cfRule type="expression" dxfId="10" priority="11">
      <formula>$E11="Not applicable"</formula>
    </cfRule>
  </conditionalFormatting>
  <conditionalFormatting sqref="E11:E11">
    <cfRule type="expression" dxfId="11" priority="12">
      <formula>OR($E11="Needs answer",$E11="Explain why",LEFT($E11,6)="Review")</formula>
    </cfRule>
  </conditionalFormatting>
  <conditionalFormatting sqref="B12:E12">
    <cfRule type="expression" dxfId="12" priority="13">
      <formula>$E12="Not applicable"</formula>
    </cfRule>
  </conditionalFormatting>
  <conditionalFormatting sqref="E12:E12">
    <cfRule type="expression" dxfId="13" priority="14">
      <formula>OR($E12="Needs answer",$E12="Explain why",LEFT($E12,6)="Review")</formula>
    </cfRule>
  </conditionalFormatting>
  <conditionalFormatting sqref="B13:E13">
    <cfRule type="expression" dxfId="14" priority="15">
      <formula>$E13="Not applicable"</formula>
    </cfRule>
  </conditionalFormatting>
  <conditionalFormatting sqref="E13:E13">
    <cfRule type="expression" dxfId="15" priority="16">
      <formula>OR($E13="Needs answer",$E13="Explain why",LEFT($E13,6)="Review")</formula>
    </cfRule>
  </conditionalFormatting>
  <conditionalFormatting sqref="B14:E14">
    <cfRule type="expression" dxfId="16" priority="17">
      <formula>$E14="Not applicable"</formula>
    </cfRule>
  </conditionalFormatting>
  <conditionalFormatting sqref="E14:E14">
    <cfRule type="expression" dxfId="17" priority="18">
      <formula>OR($E14="Needs answer",$E14="Explain why",LEFT($E14,6)="Review")</formula>
    </cfRule>
  </conditionalFormatting>
  <conditionalFormatting sqref="B15:E15">
    <cfRule type="expression" dxfId="18" priority="19">
      <formula>$E15="Not applicable"</formula>
    </cfRule>
  </conditionalFormatting>
  <conditionalFormatting sqref="E15:E15">
    <cfRule type="expression" dxfId="19" priority="20">
      <formula>OR($E15="Needs answer",$E15="Explain why",LEFT($E15,6)="Review")</formula>
    </cfRule>
  </conditionalFormatting>
  <conditionalFormatting sqref="B16:E16">
    <cfRule type="expression" dxfId="20" priority="21">
      <formula>$E16="Not applicable"</formula>
    </cfRule>
  </conditionalFormatting>
  <conditionalFormatting sqref="E16:E16">
    <cfRule type="expression" dxfId="21" priority="22">
      <formula>OR($E16="Needs answer",$E16="Explain why",LEFT($E16,6)="Review")</formula>
    </cfRule>
  </conditionalFormatting>
  <pageMargins left="0.3" right="0.3" top="0.4" bottom="0.4" header="0.2" footer="0.2"/>
  <pageSetup paperSize="1" orientation="landscape" fitToWidth="1" fitToHeight="0"/>
</worksheet>
</file>

<file path=xl/worksheets/sheet3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How things are now</v>
      </c>
      <c r="C1" s="4"/>
      <c r="D1" s="5" t="str">
        <v>Section 2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87" customHeight="1">
      <c r="A6" s="3" t="str">
        <v>diagnosis_categories</v>
      </c>
      <c r="B6" s="21" t="inlineStr">
        <is>
          <r>
            <rPr>
              <b/>
              <sz val="12"/>
              <color rgb="FF233B32"/>
            </rPr>
            <t>Diagnosis categories</t>
          </r>
          <r>
            <rPr>
              <b val="0"/>
              <sz val="10"/>
              <color rgb="FF59675F"/>
            </rPr>
            <t xml:space="preserve">
One per line: Schizophrenia; Schizoaffective disorder; Bipolar disorder; Personality disorder; Substance use disorder; Psychosis; Delusional disorder; Physical health condition; Other.</t>
          </r>
        </is>
      </c>
      <c r="C6" t="str" s="50"/>
      <c r="D6" t="str" s="48"/>
      <c r="E6" s="16" t="str">
        <f>IF(NOT(TRUE),IF(OR(LEN(TRIM(C6&amp;""&amp;C7&amp;""&amp;C8&amp;""&amp;C9&amp;""&amp;C10&amp;""&amp;C11&amp;""&amp;C12&amp;""&amp;C13&amp;""&amp;C14&amp;""&amp;C15&amp;""&amp;C16&amp;""&amp;C17&amp;""&amp;C18&amp;""&amp;C19))&gt;0,LEN(TRIM(D6))&gt;0),"Review previous answer","Not applicable"),IF(AND(LEN(TRIM(D6))&gt;0,NOT(FALSE)),"Review previous reason",IF(AND(FALSE,NOT(LEN(TRIM(D6))&gt;0)),"Explain why",IF(LEN(TRIM(C6&amp;""&amp;C7&amp;""&amp;C8&amp;""&amp;C9&amp;""&amp;C10&amp;""&amp;C11&amp;""&amp;C12&amp;""&amp;C13&amp;""&amp;C14&amp;""&amp;C15&amp;""&amp;C16&amp;""&amp;C17&amp;""&amp;C18&amp;""&amp;C19))&gt;0,"Answered",IF(TRUE,"Needs answer","Optional")))))</f>
        <v>Needs answer</v>
      </c>
    </row>
    <row r="7" ht="88" customHeight="1" hidden="1">
      <c r="A7" s="3" t="str">
        <v>diagnosis_categories:1</v>
      </c>
      <c r="B7" s="3" t="str">
        <v>Diagnosis categories (continued)</v>
      </c>
      <c r="C7" t="str" s="57"/>
      <c r="D7" s="3" t="str"/>
      <c r="E7" s="3"/>
    </row>
    <row r="8" ht="88" customHeight="1" hidden="1">
      <c r="A8" s="3" t="str">
        <v>diagnosis_categories:2</v>
      </c>
      <c r="B8" s="3" t="str">
        <v>Diagnosis categories (continued)</v>
      </c>
      <c r="C8" t="str" s="57"/>
      <c r="D8" s="3" t="str"/>
      <c r="E8" s="3"/>
    </row>
    <row r="9" ht="88" customHeight="1" hidden="1">
      <c r="A9" s="3" t="str">
        <v>diagnosis_categories:3</v>
      </c>
      <c r="B9" s="3" t="str">
        <v>Diagnosis categories (continued)</v>
      </c>
      <c r="C9" t="str" s="57"/>
      <c r="D9" s="3" t="str"/>
      <c r="E9" s="3"/>
    </row>
    <row r="10" ht="88" customHeight="1" hidden="1">
      <c r="A10" s="3" t="str">
        <v>diagnosis_categories:4</v>
      </c>
      <c r="B10" s="3" t="str">
        <v>Diagnosis categories (continued)</v>
      </c>
      <c r="C10" t="str" s="57"/>
      <c r="D10" s="3" t="str"/>
      <c r="E10" s="3"/>
    </row>
    <row r="11" ht="88" customHeight="1" hidden="1">
      <c r="A11" s="3" t="str">
        <v>diagnosis_categories:5</v>
      </c>
      <c r="B11" s="3" t="str">
        <v>Diagnosis categories (continued)</v>
      </c>
      <c r="C11" t="str" s="57"/>
      <c r="D11" s="3" t="str"/>
      <c r="E11" s="3"/>
    </row>
    <row r="12" ht="88" customHeight="1" hidden="1">
      <c r="A12" s="3" t="str">
        <v>diagnosis_categories:6</v>
      </c>
      <c r="B12" s="3" t="str">
        <v>Diagnosis categories (continued)</v>
      </c>
      <c r="C12" t="str" s="57"/>
      <c r="D12" s="3" t="str"/>
      <c r="E12" s="3"/>
    </row>
    <row r="13" ht="88" customHeight="1" hidden="1">
      <c r="A13" s="3" t="str">
        <v>diagnosis_categories:7</v>
      </c>
      <c r="B13" s="3" t="str">
        <v>Diagnosis categories (continued)</v>
      </c>
      <c r="C13" t="str" s="57"/>
      <c r="D13" s="3" t="str"/>
      <c r="E13" s="3"/>
    </row>
    <row r="14" ht="88" customHeight="1" hidden="1">
      <c r="A14" s="3" t="str">
        <v>diagnosis_categories:8</v>
      </c>
      <c r="B14" s="3" t="str">
        <v>Diagnosis categories (continued)</v>
      </c>
      <c r="C14" t="str" s="57"/>
      <c r="D14" s="3" t="str"/>
      <c r="E14" s="3"/>
    </row>
    <row r="15" ht="88" customHeight="1" hidden="1">
      <c r="A15" s="3" t="str">
        <v>diagnosis_categories:9</v>
      </c>
      <c r="B15" s="3" t="str">
        <v>Diagnosis categories (continued)</v>
      </c>
      <c r="C15" t="str" s="57"/>
      <c r="D15" s="3" t="str"/>
      <c r="E15" s="3"/>
    </row>
    <row r="16" ht="88" customHeight="1" hidden="1">
      <c r="A16" s="3" t="str">
        <v>diagnosis_categories:10</v>
      </c>
      <c r="B16" s="3" t="str">
        <v>Diagnosis categories (continued)</v>
      </c>
      <c r="C16" t="str" s="57"/>
      <c r="D16" s="3" t="str"/>
      <c r="E16" s="3"/>
    </row>
    <row r="17" ht="88" customHeight="1" hidden="1">
      <c r="A17" s="3" t="str">
        <v>diagnosis_categories:11</v>
      </c>
      <c r="B17" s="3" t="str">
        <v>Diagnosis categories (continued)</v>
      </c>
      <c r="C17" t="str" s="57"/>
      <c r="D17" s="3" t="str"/>
      <c r="E17" s="3"/>
    </row>
    <row r="18" ht="88" customHeight="1" hidden="1">
      <c r="A18" s="3" t="str">
        <v>diagnosis_categories:12</v>
      </c>
      <c r="B18" s="3" t="str">
        <v>Diagnosis categories (continued)</v>
      </c>
      <c r="C18" t="str" s="57"/>
      <c r="D18" s="3" t="str"/>
      <c r="E18" s="3"/>
    </row>
    <row r="19" ht="88" customHeight="1" hidden="1">
      <c r="A19" s="3" t="str">
        <v>diagnosis_categories:13</v>
      </c>
      <c r="B19" s="3" t="str">
        <v>Diagnosis categories (continued)</v>
      </c>
      <c r="C19" t="str" s="57"/>
      <c r="D19" s="3" t="str"/>
      <c r="E19" s="3"/>
    </row>
    <row r="20" ht="51" customHeight="1">
      <c r="A20" s="3" t="str">
        <v>diagnosis_other_detail</v>
      </c>
      <c r="B20" s="21" t="inlineStr">
        <is>
          <r>
            <rPr>
              <b/>
              <sz val="12"/>
              <color rgb="FF233B32"/>
            </rPr>
            <t>Other diagnosis</t>
          </r>
          <r>
            <rPr>
              <b val="0"/>
              <sz val="10"/>
              <color rgb="FF59675F"/>
            </rPr>
            <t xml:space="preserve">
Only if Diagnosis categories includes Other.</t>
          </r>
        </is>
      </c>
      <c r="C20" t="str" s="50"/>
      <c r="D20" t="str" s="48"/>
      <c r="E20" s="16" t="str">
        <f>IF(NOT(AND(OR(ISNUMBER(SEARCH(CHAR(10)&amp;"other"&amp;CHAR(10),CHAR(10)&amp;LOWER(SUBSTITUTE('02 How things are now'!$C$6,CHAR(13),""))&amp;CHAR(10))),ISNUMBER(SEARCH(CHAR(10)&amp;"other"&amp;CHAR(10),CHAR(10)&amp;LOWER(SUBSTITUTE('02 How things are now'!$C$6,CHAR(13),""))&amp;CHAR(10)))))),IF(OR(LEN(TRIM(C20))&gt;0,LEN(TRIM(D20))&gt;0),"Review previous answer","Not applicable"),IF(AND(LEN(TRIM(D20))&gt;0,NOT(FALSE)),"Review previous reason",IF(AND(FALSE,NOT(LEN(TRIM(D20))&gt;0)),"Explain why",IF(LEN(TRIM(C20))&gt;0,"Answered",IF(OR(ISNUMBER(SEARCH(CHAR(10)&amp;"other"&amp;CHAR(10),CHAR(10)&amp;LOWER(SUBSTITUTE('02 How things are now'!$C$6,CHAR(13),""))&amp;CHAR(10))),ISNUMBER(SEARCH(CHAR(10)&amp;"other"&amp;CHAR(10),CHAR(10)&amp;LOWER(SUBSTITUTE('02 How things are now'!$C$6,CHAR(13),""))&amp;CHAR(10)))),"Needs answer","Optional")))))</f>
        <v>Not applicable</v>
      </c>
    </row>
    <row r="21" ht="72" customHeight="1">
      <c r="A21" s="3" t="str">
        <v>secondary_diagnoses</v>
      </c>
      <c r="B21" s="13" t="str">
        <v>Secondary diagnosis</v>
      </c>
      <c r="C21" t="str" s="50"/>
      <c r="D21" t="str" s="48"/>
      <c r="E21" s="16" t="str">
        <f>IF(NOT(TRUE),IF(OR(LEN(TRIM(C21&amp;""&amp;C22&amp;""&amp;C23&amp;""&amp;C24&amp;""&amp;C25&amp;""&amp;C26&amp;""&amp;C27&amp;""&amp;C28&amp;""&amp;C29&amp;""&amp;C30&amp;""&amp;C31&amp;""&amp;C32&amp;""&amp;C33&amp;""&amp;C34))&gt;0,LEN(TRIM(D21))&gt;0),"Review previous answer","Not applicable"),IF(AND(LEN(TRIM(D21))&gt;0,NOT(FALSE)),"Review previous reason",IF(AND(FALSE,NOT(LEN(TRIM(D21))&gt;0)),"Explain why",IF(LEN(TRIM(C21&amp;""&amp;C22&amp;""&amp;C23&amp;""&amp;C24&amp;""&amp;C25&amp;""&amp;C26&amp;""&amp;C27&amp;""&amp;C28&amp;""&amp;C29&amp;""&amp;C30&amp;""&amp;C31&amp;""&amp;C32&amp;""&amp;C33&amp;""&amp;C34))&gt;0,"Answered",IF(FALSE,"Needs answer","Optional")))))</f>
        <v>Optional</v>
      </c>
    </row>
    <row r="22" ht="88" customHeight="1" hidden="1">
      <c r="A22" s="3" t="str">
        <v>secondary_diagnoses:1</v>
      </c>
      <c r="B22" s="3" t="str">
        <v>Secondary diagnosis (continued)</v>
      </c>
      <c r="C22" t="str" s="57"/>
      <c r="D22" s="3" t="str"/>
      <c r="E22" s="3"/>
    </row>
    <row r="23" ht="88" customHeight="1" hidden="1">
      <c r="A23" s="3" t="str">
        <v>secondary_diagnoses:2</v>
      </c>
      <c r="B23" s="3" t="str">
        <v>Secondary diagnosis (continued)</v>
      </c>
      <c r="C23" t="str" s="57"/>
      <c r="D23" s="3" t="str"/>
      <c r="E23" s="3"/>
    </row>
    <row r="24" ht="88" customHeight="1" hidden="1">
      <c r="A24" s="3" t="str">
        <v>secondary_diagnoses:3</v>
      </c>
      <c r="B24" s="3" t="str">
        <v>Secondary diagnosis (continued)</v>
      </c>
      <c r="C24" t="str" s="57"/>
      <c r="D24" s="3" t="str"/>
      <c r="E24" s="3"/>
    </row>
    <row r="25" ht="88" customHeight="1" hidden="1">
      <c r="A25" s="3" t="str">
        <v>secondary_diagnoses:4</v>
      </c>
      <c r="B25" s="3" t="str">
        <v>Secondary diagnosis (continued)</v>
      </c>
      <c r="C25" t="str" s="57"/>
      <c r="D25" s="3" t="str"/>
      <c r="E25" s="3"/>
    </row>
    <row r="26" ht="88" customHeight="1" hidden="1">
      <c r="A26" s="3" t="str">
        <v>secondary_diagnoses:5</v>
      </c>
      <c r="B26" s="3" t="str">
        <v>Secondary diagnosis (continued)</v>
      </c>
      <c r="C26" t="str" s="57"/>
      <c r="D26" s="3" t="str"/>
      <c r="E26" s="3"/>
    </row>
    <row r="27" ht="88" customHeight="1" hidden="1">
      <c r="A27" s="3" t="str">
        <v>secondary_diagnoses:6</v>
      </c>
      <c r="B27" s="3" t="str">
        <v>Secondary diagnosis (continued)</v>
      </c>
      <c r="C27" t="str" s="57"/>
      <c r="D27" s="3" t="str"/>
      <c r="E27" s="3"/>
    </row>
    <row r="28" ht="88" customHeight="1" hidden="1">
      <c r="A28" s="3" t="str">
        <v>secondary_diagnoses:7</v>
      </c>
      <c r="B28" s="3" t="str">
        <v>Secondary diagnosis (continued)</v>
      </c>
      <c r="C28" t="str" s="57"/>
      <c r="D28" s="3" t="str"/>
      <c r="E28" s="3"/>
    </row>
    <row r="29" ht="88" customHeight="1" hidden="1">
      <c r="A29" s="3" t="str">
        <v>secondary_diagnoses:8</v>
      </c>
      <c r="B29" s="3" t="str">
        <v>Secondary diagnosis (continued)</v>
      </c>
      <c r="C29" t="str" s="57"/>
      <c r="D29" s="3" t="str"/>
      <c r="E29" s="3"/>
    </row>
    <row r="30" ht="88" customHeight="1" hidden="1">
      <c r="A30" s="3" t="str">
        <v>secondary_diagnoses:9</v>
      </c>
      <c r="B30" s="3" t="str">
        <v>Secondary diagnosis (continued)</v>
      </c>
      <c r="C30" t="str" s="57"/>
      <c r="D30" s="3" t="str"/>
      <c r="E30" s="3"/>
    </row>
    <row r="31" ht="88" customHeight="1" hidden="1">
      <c r="A31" s="3" t="str">
        <v>secondary_diagnoses:10</v>
      </c>
      <c r="B31" s="3" t="str">
        <v>Secondary diagnosis (continued)</v>
      </c>
      <c r="C31" t="str" s="57"/>
      <c r="D31" s="3" t="str"/>
      <c r="E31" s="3"/>
    </row>
    <row r="32" ht="88" customHeight="1" hidden="1">
      <c r="A32" s="3" t="str">
        <v>secondary_diagnoses:11</v>
      </c>
      <c r="B32" s="3" t="str">
        <v>Secondary diagnosis (continued)</v>
      </c>
      <c r="C32" t="str" s="57"/>
      <c r="D32" s="3" t="str"/>
      <c r="E32" s="3"/>
    </row>
    <row r="33" ht="88" customHeight="1" hidden="1">
      <c r="A33" s="3" t="str">
        <v>secondary_diagnoses:12</v>
      </c>
      <c r="B33" s="3" t="str">
        <v>Secondary diagnosis (continued)</v>
      </c>
      <c r="C33" t="str" s="57"/>
      <c r="D33" s="3" t="str"/>
      <c r="E33" s="3"/>
    </row>
    <row r="34" ht="88" customHeight="1" hidden="1">
      <c r="A34" s="3" t="str">
        <v>secondary_diagnoses:13</v>
      </c>
      <c r="B34" s="3" t="str">
        <v>Secondary diagnosis (continued)</v>
      </c>
      <c r="C34" t="str" s="57"/>
      <c r="D34" s="3" t="str"/>
      <c r="E34" s="3"/>
    </row>
    <row r="35" ht="72" customHeight="1">
      <c r="A35" s="3" t="str">
        <v>current_symptoms</v>
      </c>
      <c r="B35" s="13" t="str">
        <v>Current symptoms</v>
      </c>
      <c r="C35" t="str" s="50"/>
      <c r="D35" t="str" s="48"/>
      <c r="E35" s="16" t="str">
        <f>IF(NOT(TRUE),IF(OR(LEN(TRIM(C35))&gt;0,LEN(TRIM(D35))&gt;0),"Review previous answer","Not applicable"),IF(AND(LEN(TRIM(D35))&gt;0,NOT(FALSE)),"Review previous reason",IF(AND(FALSE,NOT(LEN(TRIM(D35))&gt;0)),"Explain why",IF(LEN(TRIM(C35))&gt;0,"Answered",IF(TRUE,"Needs answer","Optional")))))</f>
        <v>Needs answer</v>
      </c>
    </row>
    <row r="36" ht="72" customHeight="1">
      <c r="A36" s="3" t="str">
        <v>cognition_orientation</v>
      </c>
      <c r="B36" s="13" t="str">
        <v>Cognition / orientation</v>
      </c>
      <c r="C36" t="str" s="50"/>
      <c r="D36" t="str" s="48"/>
      <c r="E36" s="16" t="str">
        <f>IF(NOT(TRUE),IF(OR(LEN(TRIM(C36))&gt;0,LEN(TRIM(D36))&gt;0),"Review previous answer","Not applicable"),IF(AND(LEN(TRIM(D36))&gt;0,NOT(FALSE)),"Review previous reason",IF(AND(FALSE,NOT(LEN(TRIM(D36))&gt;0)),"Explain why",IF(LEN(TRIM(C36))&gt;0,"Answered",IF(FALSE,"Needs answer","Optional")))))</f>
        <v>Optional</v>
      </c>
    </row>
    <row r="37" ht="34" customHeight="1">
      <c r="A37" s="3" t="str">
        <v>primary_diagnosis</v>
      </c>
      <c r="B37" s="13" t="str">
        <v>Primary diagnosis</v>
      </c>
      <c r="C37" t="str" s="50"/>
      <c r="D37" t="str" s="48"/>
      <c r="E37" s="16" t="str">
        <f>IF(NOT(TRUE),IF(OR(LEN(TRIM(C37))&gt;0,LEN(TRIM(D37))&gt;0),"Review previous answer","Not applicable"),IF(AND(LEN(TRIM(D37))&gt;0,NOT(FALSE)),"Review previous reason",IF(AND(FALSE,NOT(LEN(TRIM(D37))&gt;0)),"Explain why",IF(LEN(TRIM(C37))&gt;0,"Answered",IF(FALSE,"Needs answer","Optional")))))</f>
        <v>Optional</v>
      </c>
    </row>
    <row r="38" ht="34" customHeight="1">
      <c r="A38" s="3" t="str">
        <v>acuity_level</v>
      </c>
      <c r="B38" s="13" t="str">
        <v>Acuity level</v>
      </c>
      <c r="C38" t="str" s="50"/>
      <c r="D38" t="str" s="48"/>
      <c r="E38" s="16" t="str">
        <f>IF(NOT(TRUE),IF(OR(LEN(TRIM(C38))&gt;0,LEN(TRIM(D38))&gt;0),"Review previous answer","Not applicable"),IF(AND(LEN(TRIM(D38))&gt;0,NOT(FALSE)),"Review previous reason",IF(AND(FALSE,NOT(LEN(TRIM(D38))&gt;0)),"Explain why",IF(LEN(TRIM(C38))&gt;0,"Answered",IF(FALSE,"Needs answer","Optional")))))</f>
        <v>Optional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22" priority="1">
      <formula>$E6="Not applicable"</formula>
    </cfRule>
  </conditionalFormatting>
  <conditionalFormatting sqref="E6:E6">
    <cfRule type="expression" dxfId="23" priority="2">
      <formula>OR($E6="Needs answer",$E6="Explain why",LEFT($E6,6)="Review")</formula>
    </cfRule>
  </conditionalFormatting>
  <conditionalFormatting sqref="B20:E20">
    <cfRule type="expression" dxfId="24" priority="3">
      <formula>$E20="Not applicable"</formula>
    </cfRule>
  </conditionalFormatting>
  <conditionalFormatting sqref="E20:E20">
    <cfRule type="expression" dxfId="25" priority="4">
      <formula>OR($E20="Needs answer",$E20="Explain why",LEFT($E20,6)="Review")</formula>
    </cfRule>
  </conditionalFormatting>
  <conditionalFormatting sqref="B21:E21">
    <cfRule type="expression" dxfId="26" priority="5">
      <formula>$E21="Not applicable"</formula>
    </cfRule>
  </conditionalFormatting>
  <conditionalFormatting sqref="E21:E21">
    <cfRule type="expression" dxfId="27" priority="6">
      <formula>OR($E21="Needs answer",$E21="Explain why",LEFT($E21,6)="Review")</formula>
    </cfRule>
  </conditionalFormatting>
  <conditionalFormatting sqref="B35:E35">
    <cfRule type="expression" dxfId="28" priority="7">
      <formula>$E35="Not applicable"</formula>
    </cfRule>
  </conditionalFormatting>
  <conditionalFormatting sqref="E35:E35">
    <cfRule type="expression" dxfId="29" priority="8">
      <formula>OR($E35="Needs answer",$E35="Explain why",LEFT($E35,6)="Review")</formula>
    </cfRule>
  </conditionalFormatting>
  <conditionalFormatting sqref="B36:E36">
    <cfRule type="expression" dxfId="30" priority="9">
      <formula>$E36="Not applicable"</formula>
    </cfRule>
  </conditionalFormatting>
  <conditionalFormatting sqref="E36:E36">
    <cfRule type="expression" dxfId="31" priority="10">
      <formula>OR($E36="Needs answer",$E36="Explain why",LEFT($E36,6)="Review")</formula>
    </cfRule>
  </conditionalFormatting>
  <conditionalFormatting sqref="B37:E37">
    <cfRule type="expression" dxfId="32" priority="11">
      <formula>$E37="Not applicable"</formula>
    </cfRule>
  </conditionalFormatting>
  <conditionalFormatting sqref="E37:E37">
    <cfRule type="expression" dxfId="33" priority="12">
      <formula>OR($E37="Needs answer",$E37="Explain why",LEFT($E37,6)="Review")</formula>
    </cfRule>
  </conditionalFormatting>
  <conditionalFormatting sqref="B38:E38">
    <cfRule type="expression" dxfId="34" priority="13">
      <formula>$E38="Not applicable"</formula>
    </cfRule>
  </conditionalFormatting>
  <conditionalFormatting sqref="E38:E38">
    <cfRule type="expression" dxfId="35" priority="14">
      <formula>OR($E38="Needs answer",$E38="Explain why",LEFT($E38,6)="Review")</formula>
    </cfRule>
  </conditionalFormatting>
  <pageMargins left="0.3" right="0.3" top="0.4" bottom="0.4" header="0.2" footer="0.2"/>
  <pageSetup paperSize="1" orientation="landscape" fitToWidth="1" fitToHeight="0"/>
</worksheet>
</file>

<file path=xl/worksheets/sheet4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A usual day</v>
      </c>
      <c r="C1" s="4"/>
      <c r="D1" s="5" t="str">
        <v>Section 3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34" customHeight="1">
      <c r="A6" s="3" t="str">
        <v>dress_assistance_level</v>
      </c>
      <c r="B6" s="13" t="str">
        <v>Ability to dress</v>
      </c>
      <c r="C6" t="str" s="50"/>
      <c r="D6" t="str" s="48"/>
      <c r="E6" s="16" t="str">
        <f>IF(NOT(TRUE),IF(OR(LEN(TRIM(C6))&gt;0,LEN(TRIM(D6))&gt;0),"Review previous answer","Not applicable"),IF(AND(LEN(TRIM(D6))&gt;0,NOT(FALSE)),"Review previous reason",IF(AND(FALSE,NOT(LEN(TRIM(D6))&gt;0)),"Explain why",IF(LEN(TRIM(C6))&gt;0,"Answered",IF(TRUE,"Needs answer","Optional")))))</f>
        <v>Needs answer</v>
      </c>
    </row>
    <row r="7" ht="72" customHeight="1">
      <c r="A7" s="3" t="str">
        <v>dress_assistance_details</v>
      </c>
      <c r="B7" s="21" t="inlineStr">
        <is>
          <r>
            <rPr>
              <b/>
              <sz val="12"/>
              <color rgb="FF233B32"/>
            </rPr>
            <t>Dressing assistance needed</t>
          </r>
          <r>
            <rPr>
              <b val="0"/>
              <sz val="10"/>
              <color rgb="FF59675F"/>
            </rPr>
            <t xml:space="preserve">
Only if Ability to dress is Some assistance or Total assistance.</t>
          </r>
        </is>
      </c>
      <c r="C7" t="str" s="50"/>
      <c r="D7" t="str" s="48"/>
      <c r="E7" s="16" t="str">
        <f>IF(NOT(AND(OR(LOWER(TRIM('03 A usual day'!$C$6&amp;""))="some_assistance",LOWER(TRIM('03 A usual day'!$C$6&amp;""))="some assistance",LOWER(TRIM('03 A usual day'!$C$6&amp;""))="total_assistance",LOWER(TRIM('03 A usual day'!$C$6&amp;""))="total assistance"))),IF(OR(LEN(TRIM(C7))&gt;0,LEN(TRIM(D7))&gt;0),"Review previous answer","Not applicable"),IF(AND(LEN(TRIM(D7))&gt;0,NOT(FALSE)),"Review previous reason",IF(AND(FALSE,NOT(LEN(TRIM(D7))&gt;0)),"Explain why",IF(LEN(TRIM(C7))&gt;0,"Answered",IF(OR(LOWER(TRIM('03 A usual day'!$C$6&amp;""))="some_assistance",LOWER(TRIM('03 A usual day'!$C$6&amp;""))="some assistance",LOWER(TRIM('03 A usual day'!$C$6&amp;""))="total_assistance",LOWER(TRIM('03 A usual day'!$C$6&amp;""))="total assistance"),"Needs answer","Optional")))))</f>
        <v>Not applicable</v>
      </c>
    </row>
    <row r="8" ht="34" customHeight="1">
      <c r="A8" s="3" t="str">
        <v>bathing_assistance_level</v>
      </c>
      <c r="B8" s="13" t="str">
        <v>Ability to bathe</v>
      </c>
      <c r="C8" t="str" s="50"/>
      <c r="D8" t="str" s="48"/>
      <c r="E8" s="16" t="str">
        <f>IF(NOT(TRUE),IF(OR(LEN(TRIM(C8))&gt;0,LEN(TRIM(D8))&gt;0),"Review previous answer","Not applicable"),IF(AND(LEN(TRIM(D8))&gt;0,NOT(FALSE)),"Review previous reason",IF(AND(FALSE,NOT(LEN(TRIM(D8))&gt;0)),"Explain why",IF(LEN(TRIM(C8))&gt;0,"Answered",IF(TRUE,"Needs answer","Optional")))))</f>
        <v>Needs answer</v>
      </c>
    </row>
    <row r="9" ht="72" customHeight="1">
      <c r="A9" s="3" t="str">
        <v>bathing_assistance_details</v>
      </c>
      <c r="B9" s="21" t="inlineStr">
        <is>
          <r>
            <rPr>
              <b/>
              <sz val="12"/>
              <color rgb="FF233B32"/>
            </rPr>
            <t>Bathing assistance needed</t>
          </r>
          <r>
            <rPr>
              <b val="0"/>
              <sz val="10"/>
              <color rgb="FF59675F"/>
            </rPr>
            <t xml:space="preserve">
Only if Ability to bathe is Some assistance or Total assistance.</t>
          </r>
        </is>
      </c>
      <c r="C9" t="str" s="50"/>
      <c r="D9" t="str" s="48"/>
      <c r="E9" s="16" t="str">
        <f>IF(NOT(AND(OR(LOWER(TRIM('03 A usual day'!$C$8&amp;""))="some_assistance",LOWER(TRIM('03 A usual day'!$C$8&amp;""))="some assistance",LOWER(TRIM('03 A usual day'!$C$8&amp;""))="total_assistance",LOWER(TRIM('03 A usual day'!$C$8&amp;""))="total assistance"))),IF(OR(LEN(TRIM(C9))&gt;0,LEN(TRIM(D9))&gt;0),"Review previous answer","Not applicable"),IF(AND(LEN(TRIM(D9))&gt;0,NOT(FALSE)),"Review previous reason",IF(AND(FALSE,NOT(LEN(TRIM(D9))&gt;0)),"Explain why",IF(LEN(TRIM(C9))&gt;0,"Answered",IF(OR(LOWER(TRIM('03 A usual day'!$C$8&amp;""))="some_assistance",LOWER(TRIM('03 A usual day'!$C$8&amp;""))="some assistance",LOWER(TRIM('03 A usual day'!$C$8&amp;""))="total_assistance",LOWER(TRIM('03 A usual day'!$C$8&amp;""))="total assistance"),"Needs answer","Optional")))))</f>
        <v>Not applicable</v>
      </c>
    </row>
    <row r="10" ht="51" customHeight="1">
      <c r="A10" s="3" t="str">
        <v>overall_hygiene_rating</v>
      </c>
      <c r="B10" s="21" t="inlineStr">
        <is>
          <r>
            <rPr>
              <b/>
              <sz val="12"/>
              <color rgb="FF233B32"/>
            </rPr>
            <t>Overall hygiene</t>
          </r>
          <r>
            <rPr>
              <b val="0"/>
              <sz val="10"/>
              <color rgb="FF59675F"/>
            </rPr>
            <t xml:space="preserve">
1 indicates significant concern; 5 indicates strong hygiene.</t>
          </r>
        </is>
      </c>
      <c r="C10" t="str" s="58"/>
      <c r="D10" t="str" s="48"/>
      <c r="E10" s="16" t="str">
        <f>IF(NOT(TRUE),IF(OR(LEN(TRIM(C10))&gt;0,LEN(TRIM(D10))&gt;0),"Review previous answer","Not applicable"),IF(AND(LEN(TRIM(D10))&gt;0,NOT(FALSE)),"Review previous reason",IF(AND(FALSE,NOT(LEN(TRIM(D10))&gt;0)),"Explain why",IF(LEN(TRIM(C10))&gt;0,"Answered",IF(TRUE,"Needs answer","Optional")))))</f>
        <v>Needs answer</v>
      </c>
    </row>
    <row r="11" ht="72" customHeight="1">
      <c r="A11" s="3" t="str">
        <v>adl_needs</v>
      </c>
      <c r="B11" s="13" t="str">
        <v>ADL needs</v>
      </c>
      <c r="C11" t="str" s="50"/>
      <c r="D11" t="str" s="48"/>
      <c r="E11" s="16" t="str">
        <f>IF(NOT(TRUE),IF(OR(LEN(TRIM(C11))&gt;0,LEN(TRIM(D11))&gt;0),"Review previous answer","Not applicable"),IF(AND(LEN(TRIM(D11))&gt;0,NOT(FALSE)),"Review previous reason",IF(AND(FALSE,NOT(LEN(TRIM(D11))&gt;0)),"Explain why",IF(LEN(TRIM(C11))&gt;0,"Answered",IF(FALSE,"Needs answer","Optional")))))</f>
        <v>Optional</v>
      </c>
    </row>
    <row r="12" ht="34" customHeight="1">
      <c r="A12" s="3" t="str">
        <v>prompting_level</v>
      </c>
      <c r="B12" s="13" t="str">
        <v>Prompting level</v>
      </c>
      <c r="C12" t="str" s="50"/>
      <c r="D12" t="str" s="48"/>
      <c r="E12" s="16" t="str">
        <f>IF(NOT(TRUE),IF(OR(LEN(TRIM(C12))&gt;0,LEN(TRIM(D12))&gt;0),"Review previous answer","Not applicable"),IF(AND(LEN(TRIM(D12))&gt;0,NOT(FALSE)),"Review previous reason",IF(AND(FALSE,NOT(LEN(TRIM(D12))&gt;0)),"Explain why",IF(LEN(TRIM(C12))&gt;0,"Answered",IF(FALSE,"Needs answer","Optional")))))</f>
        <v>Optional</v>
      </c>
    </row>
    <row r="13" ht="34" customHeight="1">
      <c r="A13" s="3" t="str">
        <v>self_care_status</v>
      </c>
      <c r="B13" s="13" t="str">
        <v>Self-care status</v>
      </c>
      <c r="C13" t="str" s="50"/>
      <c r="D13" t="str" s="48"/>
      <c r="E13" s="16" t="str">
        <f>IF(NOT(TRUE),IF(OR(LEN(TRIM(C13))&gt;0,LEN(TRIM(D13))&gt;0),"Review previous answer","Not applicable"),IF(AND(LEN(TRIM(D13))&gt;0,NOT(FALSE)),"Review previous reason",IF(AND(FALSE,NOT(LEN(TRIM(D13))&gt;0)),"Explain why",IF(LEN(TRIM(C13))&gt;0,"Answered",IF(FALSE,"Needs answer","Optional")))))</f>
        <v>Optional</v>
      </c>
    </row>
    <row r="14" ht="34" customHeight="1">
      <c r="A14" s="3" t="str">
        <v>ambulatory</v>
      </c>
      <c r="B14" s="13" t="str">
        <v>Ambulatory</v>
      </c>
      <c r="C14" t="str" s="50"/>
      <c r="D14" t="str" s="48"/>
      <c r="E14" s="16" t="str">
        <f>IF(NOT(TRUE),IF(OR(LEN(TRIM(C14))&gt;0,LEN(TRIM(D14))&gt;0),"Review previous answer","Not applicable"),IF(AND(LEN(TRIM(D14))&gt;0,NOT(OR(LOWER(TRIM(C14))="unable to assess",C14="unable_to_assess"))),"Review previous reason",IF(AND(OR(LOWER(TRIM(C14))="unable to assess",C14="unable_to_assess"),NOT(LEN(TRIM(D14))&gt;0)),"Explain why",IF(LEN(TRIM(C14))&gt;0,"Answered",IF(TRUE,"Needs answer","Optional")))))</f>
        <v>Needs answer</v>
      </c>
    </row>
    <row r="15" ht="39" customHeight="1">
      <c r="A15" s="3" t="str">
        <v>mobility</v>
      </c>
      <c r="B15" s="21" t="inlineStr">
        <is>
          <r>
            <rPr>
              <b/>
              <sz val="12"/>
              <color rgb="FF233B32"/>
            </rPr>
            <t>Type of device</t>
          </r>
          <r>
            <rPr>
              <b val="0"/>
              <sz val="10"/>
              <color rgb="FF59675F"/>
            </rPr>
            <t xml:space="preserve">
Only if Ambulatory is No.</t>
          </r>
        </is>
      </c>
      <c r="C15" t="str" s="50"/>
      <c r="D15" t="str" s="48"/>
      <c r="E15" s="16" t="str">
        <f>IF(NOT(AND(OR(LOWER(TRIM('03 A usual day'!$C$14&amp;""))="no",LOWER(TRIM('03 A usual day'!$C$14&amp;""))="no"))),IF(OR(LEN(TRIM(C15))&gt;0,LEN(TRIM(D15))&gt;0),"Review previous answer","Not applicable"),IF(AND(LEN(TRIM(D15))&gt;0,NOT(FALSE)),"Review previous reason",IF(AND(FALSE,NOT(LEN(TRIM(D15))&gt;0)),"Explain why",IF(LEN(TRIM(C15))&gt;0,"Answered",IF(OR(LOWER(TRIM('03 A usual day'!$C$14&amp;""))="no",LOWER(TRIM('03 A usual day'!$C$14&amp;""))="no"),"Needs answer","Optional")))))</f>
        <v>Not applicable</v>
      </c>
    </row>
    <row r="16" ht="34" customHeight="1">
      <c r="A16" s="3" t="str">
        <v>language_barrier</v>
      </c>
      <c r="B16" s="13" t="str">
        <v>Language barrier</v>
      </c>
      <c r="C16" t="str" s="50"/>
      <c r="D16" t="str" s="48"/>
      <c r="E16" s="16" t="str">
        <f>IF(NOT(TRUE),IF(OR(LEN(TRIM(C16))&gt;0,LEN(TRIM(D16))&gt;0),"Review previous answer","Not applicable"),IF(AND(LEN(TRIM(D16))&gt;0,NOT(OR(LOWER(TRIM(C16))="unable to assess",C16="unable_to_assess"))),"Review previous reason",IF(AND(OR(LOWER(TRIM(C16))="unable to assess",C16="unable_to_assess"),NOT(LEN(TRIM(D16))&gt;0)),"Explain why",IF(LEN(TRIM(C16))&gt;0,"Answered",IF(TRUE,"Needs answer","Optional")))))</f>
        <v>Needs answer</v>
      </c>
    </row>
    <row r="17" ht="72" customHeight="1">
      <c r="A17" s="3" t="str">
        <v>language_barrier_details</v>
      </c>
      <c r="B17" s="21" t="inlineStr">
        <is>
          <r>
            <rPr>
              <b/>
              <sz val="12"/>
              <color rgb="FF233B32"/>
            </rPr>
            <t>Language support needed</t>
          </r>
          <r>
            <rPr>
              <b val="0"/>
              <sz val="10"/>
              <color rgb="FF59675F"/>
            </rPr>
            <t xml:space="preserve">
Only if Language barrier is Yes.</t>
          </r>
        </is>
      </c>
      <c r="C17" t="str" s="50"/>
      <c r="D17" t="str" s="48"/>
      <c r="E17" s="16" t="str">
        <f>IF(NOT(AND(OR(LOWER(TRIM('03 A usual day'!$C$16&amp;""))="yes",LOWER(TRIM('03 A usual day'!$C$16&amp;""))="yes"))),IF(OR(LEN(TRIM(C17))&gt;0,LEN(TRIM(D17))&gt;0),"Review previous answer","Not applicable"),IF(AND(LEN(TRIM(D17))&gt;0,NOT(FALSE)),"Review previous reason",IF(AND(FALSE,NOT(LEN(TRIM(D17))&gt;0)),"Explain why",IF(LEN(TRIM(C17))&gt;0,"Answered",IF(OR(LOWER(TRIM('03 A usual day'!$C$16&amp;""))="yes",LOWER(TRIM('03 A usual day'!$C$16&amp;""))="yes"),"Needs answer","Optional")))))</f>
        <v>Not applicable</v>
      </c>
    </row>
    <row r="18" ht="34" customHeight="1">
      <c r="A18" s="3" t="str">
        <v>linear_conversation</v>
      </c>
      <c r="B18" s="13" t="str">
        <v>Can hold a linear conversation</v>
      </c>
      <c r="C18" t="str" s="50"/>
      <c r="D18" t="str" s="48"/>
      <c r="E18" s="16" t="str">
        <f>IF(NOT(TRUE),IF(OR(LEN(TRIM(C18))&gt;0,LEN(TRIM(D18))&gt;0),"Review previous answer","Not applicable"),IF(AND(LEN(TRIM(D18))&gt;0,NOT(OR(LOWER(TRIM(C18))="unable to assess",C18="unable_to_assess"))),"Review previous reason",IF(AND(OR(LOWER(TRIM(C18))="unable to assess",C18="unable_to_assess"),NOT(LEN(TRIM(D18))&gt;0)),"Explain why",IF(LEN(TRIM(C18))&gt;0,"Answered",IF(TRUE,"Needs answer","Optional")))))</f>
        <v>Needs answer</v>
      </c>
    </row>
    <row r="19" ht="72" customHeight="1">
      <c r="A19" s="3" t="str">
        <v>linear_conversation_details</v>
      </c>
      <c r="B19" s="21" t="inlineStr">
        <is>
          <r>
            <rPr>
              <b/>
              <sz val="12"/>
              <color rgb="FF233B32"/>
            </rPr>
            <t>Conversation barriers</t>
          </r>
          <r>
            <rPr>
              <b val="0"/>
              <sz val="10"/>
              <color rgb="FF59675F"/>
            </rPr>
            <t xml:space="preserve">
Only if Can hold a linear conversation is No.</t>
          </r>
        </is>
      </c>
      <c r="C19" t="str" s="50"/>
      <c r="D19" t="str" s="48"/>
      <c r="E19" s="16" t="str">
        <f>IF(NOT(AND(OR(LOWER(TRIM('03 A usual day'!$C$18&amp;""))="no",LOWER(TRIM('03 A usual day'!$C$18&amp;""))="no"))),IF(OR(LEN(TRIM(C19))&gt;0,LEN(TRIM(D19))&gt;0),"Review previous answer","Not applicable"),IF(AND(LEN(TRIM(D19))&gt;0,NOT(FALSE)),"Review previous reason",IF(AND(FALSE,NOT(LEN(TRIM(D19))&gt;0)),"Explain why",IF(LEN(TRIM(C19))&gt;0,"Answered",IF(OR(LOWER(TRIM('03 A usual day'!$C$18&amp;""))="no",LOWER(TRIM('03 A usual day'!$C$18&amp;""))="no"),"Needs answer","Optional")))))</f>
        <v>Not applicable</v>
      </c>
    </row>
    <row r="20" ht="34" customHeight="1">
      <c r="A20" s="3" t="str">
        <v>peer_interaction_rating</v>
      </c>
      <c r="B20" s="13" t="str">
        <v>Interaction with peers</v>
      </c>
      <c r="C20" t="str" s="58"/>
      <c r="D20" t="str" s="48"/>
      <c r="E20" s="16" t="str">
        <f>IF(NOT(TRUE),IF(OR(LEN(TRIM(C20))&gt;0,LEN(TRIM(D20))&gt;0),"Review previous answer","Not applicable"),IF(AND(LEN(TRIM(D20))&gt;0,NOT(FALSE)),"Review previous reason",IF(AND(FALSE,NOT(LEN(TRIM(D20))&gt;0)),"Explain why",IF(LEN(TRIM(C20))&gt;0,"Answered",IF(TRUE,"Needs answer","Optional")))))</f>
        <v>Needs answer</v>
      </c>
    </row>
    <row r="21" ht="72" customHeight="1">
      <c r="A21" s="3" t="str">
        <v>peer_interaction_notes</v>
      </c>
      <c r="B21" s="13" t="str">
        <v>Peer interaction notes</v>
      </c>
      <c r="C21" t="str" s="50"/>
      <c r="D21" t="str" s="48"/>
      <c r="E21" s="16" t="str">
        <f>IF(NOT(TRUE),IF(OR(LEN(TRIM(C21))&gt;0,LEN(TRIM(D21))&gt;0),"Review previous answer","Not applicable"),IF(AND(LEN(TRIM(D21))&gt;0,NOT(FALSE)),"Review previous reason",IF(AND(FALSE,NOT(LEN(TRIM(D21))&gt;0)),"Explain why",IF(LEN(TRIM(C21))&gt;0,"Answered",IF(FALSE,"Needs answer","Optional")))))</f>
        <v>Optional</v>
      </c>
    </row>
    <row r="22" ht="34" customHeight="1">
      <c r="A22" s="3" t="str">
        <v>staff_interaction_rating</v>
      </c>
      <c r="B22" s="13" t="str">
        <v>Interaction with staff</v>
      </c>
      <c r="C22" t="str" s="58"/>
      <c r="D22" t="str" s="48"/>
      <c r="E22" s="16" t="str">
        <f>IF(NOT(TRUE),IF(OR(LEN(TRIM(C22))&gt;0,LEN(TRIM(D22))&gt;0),"Review previous answer","Not applicable"),IF(AND(LEN(TRIM(D22))&gt;0,NOT(FALSE)),"Review previous reason",IF(AND(FALSE,NOT(LEN(TRIM(D22))&gt;0)),"Explain why",IF(LEN(TRIM(C22))&gt;0,"Answered",IF(TRUE,"Needs answer","Optional")))))</f>
        <v>Needs answer</v>
      </c>
    </row>
    <row r="23" ht="72" customHeight="1">
      <c r="A23" s="3" t="str">
        <v>staff_interaction_notes</v>
      </c>
      <c r="B23" s="13" t="str">
        <v>Staff interaction notes</v>
      </c>
      <c r="C23" t="str" s="50"/>
      <c r="D23" t="str" s="48"/>
      <c r="E23" s="16" t="str">
        <f>IF(NOT(TRUE),IF(OR(LEN(TRIM(C23))&gt;0,LEN(TRIM(D23))&gt;0),"Review previous answer","Not applicable"),IF(AND(LEN(TRIM(D23))&gt;0,NOT(FALSE)),"Review previous reason",IF(AND(FALSE,NOT(LEN(TRIM(D23))&gt;0)),"Explain why",IF(LEN(TRIM(C23))&gt;0,"Answered",IF(FALSE,"Needs answer","Optional")))))</f>
        <v>Optional</v>
      </c>
    </row>
    <row r="24" ht="34" customHeight="1">
      <c r="A24" s="3" t="str">
        <v>participates_in_programming</v>
      </c>
      <c r="B24" s="13" t="str">
        <v>Participates in programming</v>
      </c>
      <c r="C24" t="str" s="50"/>
      <c r="D24" t="str" s="48"/>
      <c r="E24" s="16" t="str">
        <f>IF(NOT(TRUE),IF(OR(LEN(TRIM(C24))&gt;0,LEN(TRIM(D24))&gt;0),"Review previous answer","Not applicable"),IF(AND(LEN(TRIM(D24))&gt;0,NOT(OR(LOWER(TRIM(C24))="unable to assess",C24="unable_to_assess"))),"Review previous reason",IF(AND(OR(LOWER(TRIM(C24))="unable to assess",C24="unable_to_assess"),NOT(LEN(TRIM(D24))&gt;0)),"Explain why",IF(LEN(TRIM(C24))&gt;0,"Answered",IF(TRUE,"Needs answer","Optional")))))</f>
        <v>Needs answer</v>
      </c>
    </row>
    <row r="25" ht="72" customHeight="1">
      <c r="A25" s="3" t="str">
        <v>programming_notes</v>
      </c>
      <c r="B25" s="13" t="str">
        <v>Programming notes</v>
      </c>
      <c r="C25" t="str" s="50"/>
      <c r="D25" t="str" s="48"/>
      <c r="E25" s="16" t="str">
        <f>IF(NOT(TRUE),IF(OR(LEN(TRIM(C25))&gt;0,LEN(TRIM(D25))&gt;0),"Review previous answer","Not applicable"),IF(AND(LEN(TRIM(D25))&gt;0,NOT(FALSE)),"Review previous reason",IF(AND(FALSE,NOT(LEN(TRIM(D25))&gt;0)),"Explain why",IF(LEN(TRIM(C25))&gt;0,"Answered",IF(FALSE,"Needs answer","Optional")))))</f>
        <v>Optional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36" priority="1">
      <formula>$E6="Not applicable"</formula>
    </cfRule>
  </conditionalFormatting>
  <conditionalFormatting sqref="E6:E6">
    <cfRule type="expression" dxfId="37" priority="2">
      <formula>OR($E6="Needs answer",$E6="Explain why",LEFT($E6,6)="Review")</formula>
    </cfRule>
  </conditionalFormatting>
  <conditionalFormatting sqref="B7:E7">
    <cfRule type="expression" dxfId="38" priority="3">
      <formula>$E7="Not applicable"</formula>
    </cfRule>
  </conditionalFormatting>
  <conditionalFormatting sqref="E7:E7">
    <cfRule type="expression" dxfId="39" priority="4">
      <formula>OR($E7="Needs answer",$E7="Explain why",LEFT($E7,6)="Review")</formula>
    </cfRule>
  </conditionalFormatting>
  <conditionalFormatting sqref="B8:E8">
    <cfRule type="expression" dxfId="40" priority="5">
      <formula>$E8="Not applicable"</formula>
    </cfRule>
  </conditionalFormatting>
  <conditionalFormatting sqref="E8:E8">
    <cfRule type="expression" dxfId="41" priority="6">
      <formula>OR($E8="Needs answer",$E8="Explain why",LEFT($E8,6)="Review")</formula>
    </cfRule>
  </conditionalFormatting>
  <conditionalFormatting sqref="B9:E9">
    <cfRule type="expression" dxfId="42" priority="7">
      <formula>$E9="Not applicable"</formula>
    </cfRule>
  </conditionalFormatting>
  <conditionalFormatting sqref="E9:E9">
    <cfRule type="expression" dxfId="43" priority="8">
      <formula>OR($E9="Needs answer",$E9="Explain why",LEFT($E9,6)="Review")</formula>
    </cfRule>
  </conditionalFormatting>
  <conditionalFormatting sqref="B10:E10">
    <cfRule type="expression" dxfId="44" priority="9">
      <formula>$E10="Not applicable"</formula>
    </cfRule>
  </conditionalFormatting>
  <conditionalFormatting sqref="E10:E10">
    <cfRule type="expression" dxfId="45" priority="10">
      <formula>OR($E10="Needs answer",$E10="Explain why",LEFT($E10,6)="Review")</formula>
    </cfRule>
  </conditionalFormatting>
  <conditionalFormatting sqref="B11:E11">
    <cfRule type="expression" dxfId="46" priority="11">
      <formula>$E11="Not applicable"</formula>
    </cfRule>
  </conditionalFormatting>
  <conditionalFormatting sqref="E11:E11">
    <cfRule type="expression" dxfId="47" priority="12">
      <formula>OR($E11="Needs answer",$E11="Explain why",LEFT($E11,6)="Review")</formula>
    </cfRule>
  </conditionalFormatting>
  <conditionalFormatting sqref="B12:E12">
    <cfRule type="expression" dxfId="48" priority="13">
      <formula>$E12="Not applicable"</formula>
    </cfRule>
  </conditionalFormatting>
  <conditionalFormatting sqref="E12:E12">
    <cfRule type="expression" dxfId="49" priority="14">
      <formula>OR($E12="Needs answer",$E12="Explain why",LEFT($E12,6)="Review")</formula>
    </cfRule>
  </conditionalFormatting>
  <conditionalFormatting sqref="B13:E13">
    <cfRule type="expression" dxfId="50" priority="15">
      <formula>$E13="Not applicable"</formula>
    </cfRule>
  </conditionalFormatting>
  <conditionalFormatting sqref="E13:E13">
    <cfRule type="expression" dxfId="51" priority="16">
      <formula>OR($E13="Needs answer",$E13="Explain why",LEFT($E13,6)="Review")</formula>
    </cfRule>
  </conditionalFormatting>
  <conditionalFormatting sqref="B14:E14">
    <cfRule type="expression" dxfId="52" priority="17">
      <formula>$E14="Not applicable"</formula>
    </cfRule>
  </conditionalFormatting>
  <conditionalFormatting sqref="E14:E14">
    <cfRule type="expression" dxfId="53" priority="18">
      <formula>OR($E14="Needs answer",$E14="Explain why",LEFT($E14,6)="Review")</formula>
    </cfRule>
  </conditionalFormatting>
  <conditionalFormatting sqref="D14:D14">
    <cfRule type="expression" dxfId="54" priority="19">
      <formula>OR($C14="Unable to assess",$C14="unable_to_assess")</formula>
    </cfRule>
  </conditionalFormatting>
  <conditionalFormatting sqref="B15:E15">
    <cfRule type="expression" dxfId="55" priority="20">
      <formula>$E15="Not applicable"</formula>
    </cfRule>
  </conditionalFormatting>
  <conditionalFormatting sqref="E15:E15">
    <cfRule type="expression" dxfId="56" priority="21">
      <formula>OR($E15="Needs answer",$E15="Explain why",LEFT($E15,6)="Review")</formula>
    </cfRule>
  </conditionalFormatting>
  <conditionalFormatting sqref="B16:E16">
    <cfRule type="expression" dxfId="57" priority="22">
      <formula>$E16="Not applicable"</formula>
    </cfRule>
  </conditionalFormatting>
  <conditionalFormatting sqref="E16:E16">
    <cfRule type="expression" dxfId="58" priority="23">
      <formula>OR($E16="Needs answer",$E16="Explain why",LEFT($E16,6)="Review")</formula>
    </cfRule>
  </conditionalFormatting>
  <conditionalFormatting sqref="D16:D16">
    <cfRule type="expression" dxfId="59" priority="24">
      <formula>OR($C16="Unable to assess",$C16="unable_to_assess")</formula>
    </cfRule>
  </conditionalFormatting>
  <conditionalFormatting sqref="B17:E17">
    <cfRule type="expression" dxfId="60" priority="25">
      <formula>$E17="Not applicable"</formula>
    </cfRule>
  </conditionalFormatting>
  <conditionalFormatting sqref="E17:E17">
    <cfRule type="expression" dxfId="61" priority="26">
      <formula>OR($E17="Needs answer",$E17="Explain why",LEFT($E17,6)="Review")</formula>
    </cfRule>
  </conditionalFormatting>
  <conditionalFormatting sqref="B18:E18">
    <cfRule type="expression" dxfId="62" priority="27">
      <formula>$E18="Not applicable"</formula>
    </cfRule>
  </conditionalFormatting>
  <conditionalFormatting sqref="E18:E18">
    <cfRule type="expression" dxfId="63" priority="28">
      <formula>OR($E18="Needs answer",$E18="Explain why",LEFT($E18,6)="Review")</formula>
    </cfRule>
  </conditionalFormatting>
  <conditionalFormatting sqref="D18:D18">
    <cfRule type="expression" dxfId="64" priority="29">
      <formula>OR($C18="Unable to assess",$C18="unable_to_assess")</formula>
    </cfRule>
  </conditionalFormatting>
  <conditionalFormatting sqref="B19:E19">
    <cfRule type="expression" dxfId="65" priority="30">
      <formula>$E19="Not applicable"</formula>
    </cfRule>
  </conditionalFormatting>
  <conditionalFormatting sqref="E19:E19">
    <cfRule type="expression" dxfId="66" priority="31">
      <formula>OR($E19="Needs answer",$E19="Explain why",LEFT($E19,6)="Review")</formula>
    </cfRule>
  </conditionalFormatting>
  <conditionalFormatting sqref="B20:E20">
    <cfRule type="expression" dxfId="67" priority="32">
      <formula>$E20="Not applicable"</formula>
    </cfRule>
  </conditionalFormatting>
  <conditionalFormatting sqref="E20:E20">
    <cfRule type="expression" dxfId="68" priority="33">
      <formula>OR($E20="Needs answer",$E20="Explain why",LEFT($E20,6)="Review")</formula>
    </cfRule>
  </conditionalFormatting>
  <conditionalFormatting sqref="B21:E21">
    <cfRule type="expression" dxfId="69" priority="34">
      <formula>$E21="Not applicable"</formula>
    </cfRule>
  </conditionalFormatting>
  <conditionalFormatting sqref="E21:E21">
    <cfRule type="expression" dxfId="70" priority="35">
      <formula>OR($E21="Needs answer",$E21="Explain why",LEFT($E21,6)="Review")</formula>
    </cfRule>
  </conditionalFormatting>
  <conditionalFormatting sqref="B22:E22">
    <cfRule type="expression" dxfId="71" priority="36">
      <formula>$E22="Not applicable"</formula>
    </cfRule>
  </conditionalFormatting>
  <conditionalFormatting sqref="E22:E22">
    <cfRule type="expression" dxfId="72" priority="37">
      <formula>OR($E22="Needs answer",$E22="Explain why",LEFT($E22,6)="Review")</formula>
    </cfRule>
  </conditionalFormatting>
  <conditionalFormatting sqref="B23:E23">
    <cfRule type="expression" dxfId="73" priority="38">
      <formula>$E23="Not applicable"</formula>
    </cfRule>
  </conditionalFormatting>
  <conditionalFormatting sqref="E23:E23">
    <cfRule type="expression" dxfId="74" priority="39">
      <formula>OR($E23="Needs answer",$E23="Explain why",LEFT($E23,6)="Review")</formula>
    </cfRule>
  </conditionalFormatting>
  <conditionalFormatting sqref="B24:E24">
    <cfRule type="expression" dxfId="75" priority="40">
      <formula>$E24="Not applicable"</formula>
    </cfRule>
  </conditionalFormatting>
  <conditionalFormatting sqref="E24:E24">
    <cfRule type="expression" dxfId="76" priority="41">
      <formula>OR($E24="Needs answer",$E24="Explain why",LEFT($E24,6)="Review")</formula>
    </cfRule>
  </conditionalFormatting>
  <conditionalFormatting sqref="D24:D24">
    <cfRule type="expression" dxfId="77" priority="42">
      <formula>OR($C24="Unable to assess",$C24="unable_to_assess")</formula>
    </cfRule>
  </conditionalFormatting>
  <conditionalFormatting sqref="B25:E25">
    <cfRule type="expression" dxfId="78" priority="43">
      <formula>$E25="Not applicable"</formula>
    </cfRule>
  </conditionalFormatting>
  <conditionalFormatting sqref="E25:E25">
    <cfRule type="expression" dxfId="79" priority="44">
      <formula>OR($E25="Needs answer",$E25="Explain why",LEFT($E25,6)="Review")</formula>
    </cfRule>
  </conditionalFormatting>
  <dataValidations count="9">
    <dataValidation type="list" sqref="C6">
      <formula1>"Independent,Some assistance,Total assistance"</formula1>
    </dataValidation>
    <dataValidation type="list" sqref="C8">
      <formula1>"Independent,Some assistance,Total assistance"</formula1>
    </dataValidation>
    <dataValidation type="whole" operator="between" sqref="C10">
      <formula1>1</formula1>
      <formula2>5</formula2>
    </dataValidation>
    <dataValidation type="list" sqref="C14">
      <formula1>"Yes,No,Unable to assess"</formula1>
    </dataValidation>
    <dataValidation type="list" sqref="C16">
      <formula1>"Yes,No,Unable to assess"</formula1>
    </dataValidation>
    <dataValidation type="list" sqref="C18">
      <formula1>"Yes,No,Unable to assess"</formula1>
    </dataValidation>
    <dataValidation type="whole" operator="between" sqref="C20">
      <formula1>1</formula1>
      <formula2>5</formula2>
    </dataValidation>
    <dataValidation type="whole" operator="between" sqref="C22">
      <formula1>1</formula1>
      <formula2>5</formula2>
    </dataValidation>
    <dataValidation type="list" sqref="C24">
      <formula1>"Yes,No,Unable to assess"</formula1>
    </dataValidation>
  </dataValidations>
  <pageMargins left="0.3" right="0.3" top="0.4" bottom="0.4" header="0.2" footer="0.2"/>
  <pageSetup paperSize="1" orientation="landscape" fitToWidth="1" fitToHeight="0"/>
</worksheet>
</file>

<file path=xl/worksheets/sheet5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Health and comfort</v>
      </c>
      <c r="C1" s="4"/>
      <c r="D1" s="5" t="str">
        <v>Section 4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63" customHeight="1">
      <c r="A6" s="3" t="str">
        <v>physical_health_concerns</v>
      </c>
      <c r="B6" s="21" t="inlineStr">
        <is>
          <r>
            <rPr>
              <b/>
              <sz val="12"/>
              <color rgb="FF233B32"/>
            </rPr>
            <t>Physical health concerns</t>
          </r>
          <r>
            <rPr>
              <b val="0"/>
              <sz val="10"/>
              <color rgb="FF59675F"/>
            </rPr>
            <t xml:space="preserve">
Use this for other health concerns. Diabetes, diet, and skin have their own questions below.</t>
          </r>
        </is>
      </c>
      <c r="C6" t="str" s="50"/>
      <c r="D6" t="str" s="48"/>
      <c r="E6" s="16" t="str">
        <f>IF(NOT(TRUE),IF(OR(LEN(TRIM(C6))&gt;0,LEN(TRIM(D6))&gt;0),"Review previous answer","Not applicable"),IF(AND(LEN(TRIM(D6))&gt;0,NOT(OR(LOWER(TRIM(C6))="unable to assess",C6="unable_to_assess"))),"Review previous reason",IF(AND(OR(LOWER(TRIM(C6))="unable to assess",C6="unable_to_assess"),NOT(LEN(TRIM(D6))&gt;0)),"Explain why",IF(LEN(TRIM(C6))&gt;0,"Answered",IF(TRUE,"Needs answer","Optional")))))</f>
        <v>Needs answer</v>
      </c>
    </row>
    <row r="7" ht="72" customHeight="1">
      <c r="A7" s="3" t="str">
        <v>physical_health_diagnoses</v>
      </c>
      <c r="B7" s="21" t="inlineStr">
        <is>
          <r>
            <rPr>
              <b/>
              <sz val="12"/>
              <color rgb="FF233B32"/>
            </rPr>
            <t>Physical health diagnoses</t>
          </r>
          <r>
            <rPr>
              <b val="0"/>
              <sz val="10"/>
              <color rgb="FF59675F"/>
            </rPr>
            <t xml:space="preserve">
Only if Physical health concerns is Yes.</t>
          </r>
        </is>
      </c>
      <c r="C7" t="str" s="50"/>
      <c r="D7" t="str" s="48"/>
      <c r="E7" s="16" t="str">
        <f>IF(NOT(AND(OR(LOWER(TRIM('04 Health and comfort'!$C$6&amp;""))="yes",LOWER(TRIM('04 Health and comfort'!$C$6&amp;""))="yes"))),IF(OR(LEN(TRIM(C7))&gt;0,LEN(TRIM(D7))&gt;0),"Review previous answer","Not applicable"),IF(AND(LEN(TRIM(D7))&gt;0,NOT(FALSE)),"Review previous reason",IF(AND(FALSE,NOT(LEN(TRIM(D7))&gt;0)),"Explain why",IF(LEN(TRIM(C7))&gt;0,"Answered",IF(OR(LOWER(TRIM('04 Health and comfort'!$C$6&amp;""))="yes",LOWER(TRIM('04 Health and comfort'!$C$6&amp;""))="yes"),"Needs answer","Optional")))))</f>
        <v>Not applicable</v>
      </c>
    </row>
    <row r="8" ht="72" customHeight="1">
      <c r="A8" s="3" t="str">
        <v>physical_health_measures</v>
      </c>
      <c r="B8" s="21" t="inlineStr">
        <is>
          <r>
            <rPr>
              <b/>
              <sz val="12"/>
              <color rgb="FF233B32"/>
            </rPr>
            <t>Current health measures</t>
          </r>
          <r>
            <rPr>
              <b val="0"/>
              <sz val="10"/>
              <color rgb="FF59675F"/>
            </rPr>
            <t xml:space="preserve">
Only if Physical health concerns is Yes.</t>
          </r>
        </is>
      </c>
      <c r="C8" t="str" s="50"/>
      <c r="D8" t="str" s="48"/>
      <c r="E8" s="16" t="str">
        <f>IF(NOT(AND(OR(LOWER(TRIM('04 Health and comfort'!$C$6&amp;""))="yes",LOWER(TRIM('04 Health and comfort'!$C$6&amp;""))="yes"))),IF(OR(LEN(TRIM(C8))&gt;0,LEN(TRIM(D8))&gt;0),"Review previous answer","Not applicable"),IF(AND(LEN(TRIM(D8))&gt;0,NOT(FALSE)),"Review previous reason",IF(AND(FALSE,NOT(LEN(TRIM(D8))&gt;0)),"Explain why",IF(LEN(TRIM(C8))&gt;0,"Answered",IF(OR(LOWER(TRIM('04 Health and comfort'!$C$6&amp;""))="yes",LOWER(TRIM('04 Health and comfort'!$C$6&amp;""))="yes"),"Needs answer","Optional")))))</f>
        <v>Not applicable</v>
      </c>
    </row>
    <row r="9" ht="34" customHeight="1">
      <c r="A9" s="3" t="str">
        <v>diabetic</v>
      </c>
      <c r="B9" s="13" t="str">
        <v>Diabetic</v>
      </c>
      <c r="C9" t="str" s="50"/>
      <c r="D9" t="str" s="48"/>
      <c r="E9" s="16" t="str">
        <f>IF(NOT(TRUE),IF(OR(LEN(TRIM(C9))&gt;0,LEN(TRIM(D9))&gt;0),"Review previous answer","Not applicable"),IF(AND(LEN(TRIM(D9))&gt;0,NOT(OR(LOWER(TRIM(C9))="unable to assess",C9="unable_to_assess"))),"Review previous reason",IF(AND(OR(LOWER(TRIM(C9))="unable to assess",C9="unable_to_assess"),NOT(LEN(TRIM(D9))&gt;0)),"Explain why",IF(LEN(TRIM(C9))&gt;0,"Answered",IF(TRUE,"Needs answer","Optional")))))</f>
        <v>Needs answer</v>
      </c>
    </row>
    <row r="10" ht="72" customHeight="1">
      <c r="A10" s="3" t="str">
        <v>diabetic_details</v>
      </c>
      <c r="B10" s="21" t="inlineStr">
        <is>
          <r>
            <rPr>
              <b/>
              <sz val="12"/>
              <color rgb="FF233B32"/>
            </rPr>
            <t>Diabetes care details</t>
          </r>
          <r>
            <rPr>
              <b val="0"/>
              <sz val="10"/>
              <color rgb="FF59675F"/>
            </rPr>
            <t xml:space="preserve">
Only if Diabetic is Yes.</t>
          </r>
        </is>
      </c>
      <c r="C10" t="str" s="50"/>
      <c r="D10" t="str" s="48"/>
      <c r="E10" s="16" t="str">
        <f>IF(NOT(AND(OR(LOWER(TRIM('04 Health and comfort'!$C$9&amp;""))="yes",LOWER(TRIM('04 Health and comfort'!$C$9&amp;""))="yes"))),IF(OR(LEN(TRIM(C10))&gt;0,LEN(TRIM(D10))&gt;0),"Review previous answer","Not applicable"),IF(AND(LEN(TRIM(D10))&gt;0,NOT(FALSE)),"Review previous reason",IF(AND(FALSE,NOT(LEN(TRIM(D10))&gt;0)),"Explain why",IF(LEN(TRIM(C10))&gt;0,"Answered",IF(OR(LOWER(TRIM('04 Health and comfort'!$C$9&amp;""))="yes",LOWER(TRIM('04 Health and comfort'!$C$9&amp;""))="yes"),"Needs answer","Optional")))))</f>
        <v>Not applicable</v>
      </c>
    </row>
    <row r="11" ht="34" customHeight="1">
      <c r="A11" s="3" t="str">
        <v>special_diet</v>
      </c>
      <c r="B11" s="13" t="str">
        <v>Special diet</v>
      </c>
      <c r="C11" t="str" s="50"/>
      <c r="D11" t="str" s="48"/>
      <c r="E11" s="16" t="str">
        <f>IF(NOT(TRUE),IF(OR(LEN(TRIM(C11))&gt;0,LEN(TRIM(D11))&gt;0),"Review previous answer","Not applicable"),IF(AND(LEN(TRIM(D11))&gt;0,NOT(OR(LOWER(TRIM(C11))="unable to assess",C11="unable_to_assess"))),"Review previous reason",IF(AND(OR(LOWER(TRIM(C11))="unable to assess",C11="unable_to_assess"),NOT(LEN(TRIM(D11))&gt;0)),"Explain why",IF(LEN(TRIM(C11))&gt;0,"Answered",IF(TRUE,"Needs answer","Optional")))))</f>
        <v>Needs answer</v>
      </c>
    </row>
    <row r="12" ht="72" customHeight="1">
      <c r="A12" s="3" t="str">
        <v>special_diet_details</v>
      </c>
      <c r="B12" s="21" t="inlineStr">
        <is>
          <r>
            <rPr>
              <b/>
              <sz val="12"/>
              <color rgb="FF233B32"/>
            </rPr>
            <t>Dietary restrictions</t>
          </r>
          <r>
            <rPr>
              <b val="0"/>
              <sz val="10"/>
              <color rgb="FF59675F"/>
            </rPr>
            <t xml:space="preserve">
Only if Special diet is Yes.</t>
          </r>
        </is>
      </c>
      <c r="C12" t="str" s="50"/>
      <c r="D12" t="str" s="48"/>
      <c r="E12" s="16" t="str">
        <f>IF(NOT(AND(OR(LOWER(TRIM('04 Health and comfort'!$C$11&amp;""))="yes",LOWER(TRIM('04 Health and comfort'!$C$11&amp;""))="yes"))),IF(OR(LEN(TRIM(C12))&gt;0,LEN(TRIM(D12))&gt;0),"Review previous answer","Not applicable"),IF(AND(LEN(TRIM(D12))&gt;0,NOT(FALSE)),"Review previous reason",IF(AND(FALSE,NOT(LEN(TRIM(D12))&gt;0)),"Explain why",IF(LEN(TRIM(C12))&gt;0,"Answered",IF(OR(LOWER(TRIM('04 Health and comfort'!$C$11&amp;""))="yes",LOWER(TRIM('04 Health and comfort'!$C$11&amp;""))="yes"),"Needs answer","Optional")))))</f>
        <v>Not applicable</v>
      </c>
    </row>
    <row r="13" ht="34" customHeight="1">
      <c r="A13" s="3" t="str">
        <v>skin_integrity_issue</v>
      </c>
      <c r="B13" s="13" t="str">
        <v>Skin integrity issue</v>
      </c>
      <c r="C13" t="str" s="50"/>
      <c r="D13" t="str" s="48"/>
      <c r="E13" s="16" t="str">
        <f>IF(NOT(TRUE),IF(OR(LEN(TRIM(C13))&gt;0,LEN(TRIM(D13))&gt;0),"Review previous answer","Not applicable"),IF(AND(LEN(TRIM(D13))&gt;0,NOT(OR(LOWER(TRIM(C13))="unable to assess",C13="unable_to_assess"))),"Review previous reason",IF(AND(OR(LOWER(TRIM(C13))="unable to assess",C13="unable_to_assess"),NOT(LEN(TRIM(D13))&gt;0)),"Explain why",IF(LEN(TRIM(C13))&gt;0,"Answered",IF(TRUE,"Needs answer","Optional")))))</f>
        <v>Needs answer</v>
      </c>
    </row>
    <row r="14" ht="72" customHeight="1">
      <c r="A14" s="3" t="str">
        <v>skin_integrity_details</v>
      </c>
      <c r="B14" s="21" t="inlineStr">
        <is>
          <r>
            <rPr>
              <b/>
              <sz val="12"/>
              <color rgb="FF233B32"/>
            </rPr>
            <t>Skin integrity details</t>
          </r>
          <r>
            <rPr>
              <b val="0"/>
              <sz val="10"/>
              <color rgb="FF59675F"/>
            </rPr>
            <t xml:space="preserve">
Only if Skin integrity issue is Yes.</t>
          </r>
        </is>
      </c>
      <c r="C14" t="str" s="50"/>
      <c r="D14" t="str" s="48"/>
      <c r="E14" s="16" t="str">
        <f>IF(NOT(AND(OR(LOWER(TRIM('04 Health and comfort'!$C$13&amp;""))="yes",LOWER(TRIM('04 Health and comfort'!$C$13&amp;""))="yes"))),IF(OR(LEN(TRIM(C14))&gt;0,LEN(TRIM(D14))&gt;0),"Review previous answer","Not applicable"),IF(AND(LEN(TRIM(D14))&gt;0,NOT(FALSE)),"Review previous reason",IF(AND(FALSE,NOT(LEN(TRIM(D14))&gt;0)),"Explain why",IF(LEN(TRIM(C14))&gt;0,"Answered",IF(OR(LOWER(TRIM('04 Health and comfort'!$C$13&amp;""))="yes",LOWER(TRIM('04 Health and comfort'!$C$13&amp;""))="yes"),"Needs answer","Optional")))))</f>
        <v>Not applicable</v>
      </c>
    </row>
    <row r="15" ht="34" customHeight="1">
      <c r="A15" s="3" t="str">
        <v>uses_dentures</v>
      </c>
      <c r="B15" s="13" t="str">
        <v>Dentures</v>
      </c>
      <c r="C15" t="str" s="50"/>
      <c r="D15" t="str" s="48"/>
      <c r="E15" s="16" t="str">
        <f>IF(NOT(TRUE),IF(OR(LEN(TRIM(C15))&gt;0,LEN(TRIM(D15))&gt;0),"Review previous answer","Not applicable"),IF(AND(LEN(TRIM(D15))&gt;0,NOT(OR(LOWER(TRIM(C15))="unable to assess",C15="unable_to_assess"))),"Review previous reason",IF(AND(OR(LOWER(TRIM(C15))="unable to assess",C15="unable_to_assess"),NOT(LEN(TRIM(D15))&gt;0)),"Explain why",IF(LEN(TRIM(C15))&gt;0,"Answered",IF(TRUE,"Needs answer","Optional")))))</f>
        <v>Needs answer</v>
      </c>
    </row>
    <row r="16" ht="34" customHeight="1">
      <c r="A16" s="3" t="str">
        <v>uses_hearing_aids</v>
      </c>
      <c r="B16" s="13" t="str">
        <v>Hearing aids</v>
      </c>
      <c r="C16" t="str" s="50"/>
      <c r="D16" t="str" s="48"/>
      <c r="E16" s="16" t="str">
        <f>IF(NOT(TRUE),IF(OR(LEN(TRIM(C16))&gt;0,LEN(TRIM(D16))&gt;0),"Review previous answer","Not applicable"),IF(AND(LEN(TRIM(D16))&gt;0,NOT(OR(LOWER(TRIM(C16))="unable to assess",C16="unable_to_assess"))),"Review previous reason",IF(AND(OR(LOWER(TRIM(C16))="unable to assess",C16="unable_to_assess"),NOT(LEN(TRIM(D16))&gt;0)),"Explain why",IF(LEN(TRIM(C16))&gt;0,"Answered",IF(TRUE,"Needs answer","Optional")))))</f>
        <v>Needs answer</v>
      </c>
    </row>
    <row r="17" ht="34" customHeight="1">
      <c r="A17" s="3" t="str">
        <v>uses_glasses</v>
      </c>
      <c r="B17" s="13" t="str">
        <v>Glasses</v>
      </c>
      <c r="C17" t="str" s="50"/>
      <c r="D17" t="str" s="48"/>
      <c r="E17" s="16" t="str">
        <f>IF(NOT(TRUE),IF(OR(LEN(TRIM(C17))&gt;0,LEN(TRIM(D17))&gt;0),"Review previous answer","Not applicable"),IF(AND(LEN(TRIM(D17))&gt;0,NOT(OR(LOWER(TRIM(C17))="unable to assess",C17="unable_to_assess"))),"Review previous reason",IF(AND(OR(LOWER(TRIM(C17))="unable to assess",C17="unable_to_assess"),NOT(LEN(TRIM(D17))&gt;0)),"Explain why",IF(LEN(TRIM(C17))&gt;0,"Answered",IF(TRUE,"Needs answer","Optional")))))</f>
        <v>Needs answer</v>
      </c>
    </row>
    <row r="18" ht="34" customHeight="1">
      <c r="A18" s="3" t="str">
        <v>uses_oxygen</v>
      </c>
      <c r="B18" s="13" t="str">
        <v>Oxygen</v>
      </c>
      <c r="C18" t="str" s="50"/>
      <c r="D18" t="str" s="48"/>
      <c r="E18" s="16" t="str">
        <f>IF(NOT(TRUE),IF(OR(LEN(TRIM(C18))&gt;0,LEN(TRIM(D18))&gt;0),"Review previous answer","Not applicable"),IF(AND(LEN(TRIM(D18))&gt;0,NOT(OR(LOWER(TRIM(C18))="unable to assess",C18="unable_to_assess"))),"Review previous reason",IF(AND(OR(LOWER(TRIM(C18))="unable to assess",C18="unable_to_assess"),NOT(LEN(TRIM(D18))&gt;0)),"Explain why",IF(LEN(TRIM(C18))&gt;0,"Answered",IF(TRUE,"Needs answer","Optional")))))</f>
        <v>Needs answer</v>
      </c>
    </row>
    <row r="19" ht="34" customHeight="1">
      <c r="A19" s="3" t="str">
        <v>uses_hospital_bed</v>
      </c>
      <c r="B19" s="13" t="str">
        <v>Hospital bed</v>
      </c>
      <c r="C19" t="str" s="50"/>
      <c r="D19" t="str" s="48"/>
      <c r="E19" s="16" t="str">
        <f>IF(NOT(TRUE),IF(OR(LEN(TRIM(C19))&gt;0,LEN(TRIM(D19))&gt;0),"Review previous answer","Not applicable"),IF(AND(LEN(TRIM(D19))&gt;0,NOT(OR(LOWER(TRIM(C19))="unable to assess",C19="unable_to_assess"))),"Review previous reason",IF(AND(OR(LOWER(TRIM(C19))="unable to assess",C19="unable_to_assess"),NOT(LEN(TRIM(D19))&gt;0)),"Explain why",IF(LEN(TRIM(C19))&gt;0,"Answered",IF(TRUE,"Needs answer","Optional")))))</f>
        <v>Needs answer</v>
      </c>
    </row>
    <row r="20" ht="34" customHeight="1">
      <c r="A20" s="3" t="str">
        <v>uses_cpap</v>
      </c>
      <c r="B20" s="13" t="str">
        <v>CPAP</v>
      </c>
      <c r="C20" t="str" s="50"/>
      <c r="D20" t="str" s="48"/>
      <c r="E20" s="16" t="str">
        <f>IF(NOT(TRUE),IF(OR(LEN(TRIM(C20))&gt;0,LEN(TRIM(D20))&gt;0),"Review previous answer","Not applicable"),IF(AND(LEN(TRIM(D20))&gt;0,NOT(OR(LOWER(TRIM(C20))="unable to assess",C20="unable_to_assess"))),"Review previous reason",IF(AND(OR(LOWER(TRIM(C20))="unable to assess",C20="unable_to_assess"),NOT(LEN(TRIM(D20))&gt;0)),"Explain why",IF(LEN(TRIM(C20))&gt;0,"Answered",IF(TRUE,"Needs answer","Optional")))))</f>
        <v>Needs answer</v>
      </c>
    </row>
    <row r="21" ht="34" customHeight="1">
      <c r="A21" s="3" t="str">
        <v>catheter_care</v>
      </c>
      <c r="B21" s="13" t="str">
        <v>Catheter care</v>
      </c>
      <c r="C21" t="str" s="50"/>
      <c r="D21" t="str" s="48"/>
      <c r="E21" s="16" t="str">
        <f>IF(NOT(TRUE),IF(OR(LEN(TRIM(C21))&gt;0,LEN(TRIM(D21))&gt;0),"Review previous answer","Not applicable"),IF(AND(LEN(TRIM(D21))&gt;0,NOT(OR(LOWER(TRIM(C21))="unable to assess",C21="unable_to_assess"))),"Review previous reason",IF(AND(OR(LOWER(TRIM(C21))="unable to assess",C21="unable_to_assess"),NOT(LEN(TRIM(D21))&gt;0)),"Explain why",IF(LEN(TRIM(C21))&gt;0,"Answered",IF(TRUE,"Needs answer","Optional")))))</f>
        <v>Needs answer</v>
      </c>
    </row>
    <row r="22" ht="34" customHeight="1">
      <c r="A22" s="3" t="str">
        <v>colostomy</v>
      </c>
      <c r="B22" s="13" t="str">
        <v>Colostomy</v>
      </c>
      <c r="C22" t="str" s="50"/>
      <c r="D22" t="str" s="48"/>
      <c r="E22" s="16" t="str">
        <f>IF(NOT(TRUE),IF(OR(LEN(TRIM(C22))&gt;0,LEN(TRIM(D22))&gt;0),"Review previous answer","Not applicable"),IF(AND(LEN(TRIM(D22))&gt;0,NOT(OR(LOWER(TRIM(C22))="unable to assess",C22="unable_to_assess"))),"Review previous reason",IF(AND(OR(LOWER(TRIM(C22))="unable to assess",C22="unable_to_assess"),NOT(LEN(TRIM(D22))&gt;0)),"Explain why",IF(LEN(TRIM(C22))&gt;0,"Answered",IF(TRUE,"Needs answer","Optional")))))</f>
        <v>Needs answer</v>
      </c>
    </row>
    <row r="23" ht="34" customHeight="1">
      <c r="A23" s="3" t="str">
        <v>ileostomy</v>
      </c>
      <c r="B23" s="13" t="str">
        <v>Ileostomy</v>
      </c>
      <c r="C23" t="str" s="50"/>
      <c r="D23" t="str" s="48"/>
      <c r="E23" s="16" t="str">
        <f>IF(NOT(TRUE),IF(OR(LEN(TRIM(C23))&gt;0,LEN(TRIM(D23))&gt;0),"Review previous answer","Not applicable"),IF(AND(LEN(TRIM(D23))&gt;0,NOT(OR(LOWER(TRIM(C23))="unable to assess",C23="unable_to_assess"))),"Review previous reason",IF(AND(OR(LOWER(TRIM(C23))="unable to assess",C23="unable_to_assess"),NOT(LEN(TRIM(D23))&gt;0)),"Explain why",IF(LEN(TRIM(C23))&gt;0,"Answered",IF(TRUE,"Needs answer","Optional")))))</f>
        <v>Needs answer</v>
      </c>
    </row>
    <row r="24" ht="34" customHeight="1">
      <c r="A24" s="3" t="str">
        <v>incontinence_issues</v>
      </c>
      <c r="B24" s="13" t="str">
        <v>Incontinence issues</v>
      </c>
      <c r="C24" t="str" s="50"/>
      <c r="D24" t="str" s="48"/>
      <c r="E24" s="16" t="str">
        <f>IF(NOT(TRUE),IF(OR(LEN(TRIM(C24))&gt;0,LEN(TRIM(D24))&gt;0),"Review previous answer","Not applicable"),IF(AND(LEN(TRIM(D24))&gt;0,NOT(OR(LOWER(TRIM(C24))="unable to assess",C24="unable_to_assess"))),"Review previous reason",IF(AND(OR(LOWER(TRIM(C24))="unable to assess",C24="unable_to_assess"),NOT(LEN(TRIM(D24))&gt;0)),"Explain why",IF(LEN(TRIM(C24))&gt;0,"Answered",IF(TRUE,"Needs answer","Optional")))))</f>
        <v>Needs answer</v>
      </c>
    </row>
    <row r="25" ht="39" customHeight="1">
      <c r="A25" s="3" t="str">
        <v>brief_change_support</v>
      </c>
      <c r="B25" s="21" t="inlineStr">
        <is>
          <r>
            <rPr>
              <b/>
              <sz val="12"/>
              <color rgb="FF233B32"/>
            </rPr>
            <t>Support</t>
          </r>
          <r>
            <rPr>
              <b val="0"/>
              <sz val="10"/>
              <color rgb="FF59675F"/>
            </rPr>
            <t xml:space="preserve">
Only if Incontinence issues is Yes.</t>
          </r>
        </is>
      </c>
      <c r="C25" t="str" s="50"/>
      <c r="D25" t="str" s="48"/>
      <c r="E25" s="16" t="str">
        <f>IF(NOT(AND(OR(LOWER(TRIM('04 Health and comfort'!$C$24&amp;""))="yes",LOWER(TRIM('04 Health and comfort'!$C$24&amp;""))="yes"))),IF(OR(LEN(TRIM(C25))&gt;0,LEN(TRIM(D25))&gt;0),"Review previous answer","Not applicable"),IF(AND(LEN(TRIM(D25))&gt;0,NOT(FALSE)),"Review previous reason",IF(AND(FALSE,NOT(LEN(TRIM(D25))&gt;0)),"Explain why",IF(LEN(TRIM(C25))&gt;0,"Answered",IF(OR(LOWER(TRIM('04 Health and comfort'!$C$24&amp;""))="yes",LOWER(TRIM('04 Health and comfort'!$C$24&amp;""))="yes"),"Needs answer","Optional")))))</f>
        <v>Not applicable</v>
      </c>
    </row>
    <row r="26" ht="72" customHeight="1">
      <c r="A26" s="3" t="str">
        <v>additional_health_notes</v>
      </c>
      <c r="B26" s="13" t="str">
        <v>Additional health information</v>
      </c>
      <c r="C26" t="str" s="50"/>
      <c r="D26" t="str" s="48"/>
      <c r="E26" s="16" t="str">
        <f>IF(NOT(TRUE),IF(OR(LEN(TRIM(C26))&gt;0,LEN(TRIM(D26))&gt;0),"Review previous answer","Not applicable"),IF(AND(LEN(TRIM(D26))&gt;0,NOT(FALSE)),"Review previous reason",IF(AND(FALSE,NOT(LEN(TRIM(D26))&gt;0)),"Explain why",IF(LEN(TRIM(C26))&gt;0,"Answered",IF(FALSE,"Needs answer","Optional")))))</f>
        <v>Optional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80" priority="1">
      <formula>$E6="Not applicable"</formula>
    </cfRule>
  </conditionalFormatting>
  <conditionalFormatting sqref="E6:E6">
    <cfRule type="expression" dxfId="81" priority="2">
      <formula>OR($E6="Needs answer",$E6="Explain why",LEFT($E6,6)="Review")</formula>
    </cfRule>
  </conditionalFormatting>
  <conditionalFormatting sqref="D6:D6">
    <cfRule type="expression" dxfId="82" priority="3">
      <formula>OR($C6="Unable to assess",$C6="unable_to_assess")</formula>
    </cfRule>
  </conditionalFormatting>
  <conditionalFormatting sqref="B7:E7">
    <cfRule type="expression" dxfId="83" priority="4">
      <formula>$E7="Not applicable"</formula>
    </cfRule>
  </conditionalFormatting>
  <conditionalFormatting sqref="E7:E7">
    <cfRule type="expression" dxfId="84" priority="5">
      <formula>OR($E7="Needs answer",$E7="Explain why",LEFT($E7,6)="Review")</formula>
    </cfRule>
  </conditionalFormatting>
  <conditionalFormatting sqref="B8:E8">
    <cfRule type="expression" dxfId="85" priority="6">
      <formula>$E8="Not applicable"</formula>
    </cfRule>
  </conditionalFormatting>
  <conditionalFormatting sqref="E8:E8">
    <cfRule type="expression" dxfId="86" priority="7">
      <formula>OR($E8="Needs answer",$E8="Explain why",LEFT($E8,6)="Review")</formula>
    </cfRule>
  </conditionalFormatting>
  <conditionalFormatting sqref="B9:E9">
    <cfRule type="expression" dxfId="87" priority="8">
      <formula>$E9="Not applicable"</formula>
    </cfRule>
  </conditionalFormatting>
  <conditionalFormatting sqref="E9:E9">
    <cfRule type="expression" dxfId="88" priority="9">
      <formula>OR($E9="Needs answer",$E9="Explain why",LEFT($E9,6)="Review")</formula>
    </cfRule>
  </conditionalFormatting>
  <conditionalFormatting sqref="D9:D9">
    <cfRule type="expression" dxfId="89" priority="10">
      <formula>OR($C9="Unable to assess",$C9="unable_to_assess")</formula>
    </cfRule>
  </conditionalFormatting>
  <conditionalFormatting sqref="B10:E10">
    <cfRule type="expression" dxfId="90" priority="11">
      <formula>$E10="Not applicable"</formula>
    </cfRule>
  </conditionalFormatting>
  <conditionalFormatting sqref="E10:E10">
    <cfRule type="expression" dxfId="91" priority="12">
      <formula>OR($E10="Needs answer",$E10="Explain why",LEFT($E10,6)="Review")</formula>
    </cfRule>
  </conditionalFormatting>
  <conditionalFormatting sqref="B11:E11">
    <cfRule type="expression" dxfId="92" priority="13">
      <formula>$E11="Not applicable"</formula>
    </cfRule>
  </conditionalFormatting>
  <conditionalFormatting sqref="E11:E11">
    <cfRule type="expression" dxfId="93" priority="14">
      <formula>OR($E11="Needs answer",$E11="Explain why",LEFT($E11,6)="Review")</formula>
    </cfRule>
  </conditionalFormatting>
  <conditionalFormatting sqref="D11:D11">
    <cfRule type="expression" dxfId="94" priority="15">
      <formula>OR($C11="Unable to assess",$C11="unable_to_assess")</formula>
    </cfRule>
  </conditionalFormatting>
  <conditionalFormatting sqref="B12:E12">
    <cfRule type="expression" dxfId="95" priority="16">
      <formula>$E12="Not applicable"</formula>
    </cfRule>
  </conditionalFormatting>
  <conditionalFormatting sqref="E12:E12">
    <cfRule type="expression" dxfId="96" priority="17">
      <formula>OR($E12="Needs answer",$E12="Explain why",LEFT($E12,6)="Review")</formula>
    </cfRule>
  </conditionalFormatting>
  <conditionalFormatting sqref="B13:E13">
    <cfRule type="expression" dxfId="97" priority="18">
      <formula>$E13="Not applicable"</formula>
    </cfRule>
  </conditionalFormatting>
  <conditionalFormatting sqref="E13:E13">
    <cfRule type="expression" dxfId="98" priority="19">
      <formula>OR($E13="Needs answer",$E13="Explain why",LEFT($E13,6)="Review")</formula>
    </cfRule>
  </conditionalFormatting>
  <conditionalFormatting sqref="D13:D13">
    <cfRule type="expression" dxfId="99" priority="20">
      <formula>OR($C13="Unable to assess",$C13="unable_to_assess")</formula>
    </cfRule>
  </conditionalFormatting>
  <conditionalFormatting sqref="B14:E14">
    <cfRule type="expression" dxfId="100" priority="21">
      <formula>$E14="Not applicable"</formula>
    </cfRule>
  </conditionalFormatting>
  <conditionalFormatting sqref="E14:E14">
    <cfRule type="expression" dxfId="101" priority="22">
      <formula>OR($E14="Needs answer",$E14="Explain why",LEFT($E14,6)="Review")</formula>
    </cfRule>
  </conditionalFormatting>
  <conditionalFormatting sqref="B15:E15">
    <cfRule type="expression" dxfId="102" priority="23">
      <formula>$E15="Not applicable"</formula>
    </cfRule>
  </conditionalFormatting>
  <conditionalFormatting sqref="E15:E15">
    <cfRule type="expression" dxfId="103" priority="24">
      <formula>OR($E15="Needs answer",$E15="Explain why",LEFT($E15,6)="Review")</formula>
    </cfRule>
  </conditionalFormatting>
  <conditionalFormatting sqref="D15:D15">
    <cfRule type="expression" dxfId="104" priority="25">
      <formula>OR($C15="Unable to assess",$C15="unable_to_assess")</formula>
    </cfRule>
  </conditionalFormatting>
  <conditionalFormatting sqref="B16:E16">
    <cfRule type="expression" dxfId="105" priority="26">
      <formula>$E16="Not applicable"</formula>
    </cfRule>
  </conditionalFormatting>
  <conditionalFormatting sqref="E16:E16">
    <cfRule type="expression" dxfId="106" priority="27">
      <formula>OR($E16="Needs answer",$E16="Explain why",LEFT($E16,6)="Review")</formula>
    </cfRule>
  </conditionalFormatting>
  <conditionalFormatting sqref="D16:D16">
    <cfRule type="expression" dxfId="107" priority="28">
      <formula>OR($C16="Unable to assess",$C16="unable_to_assess")</formula>
    </cfRule>
  </conditionalFormatting>
  <conditionalFormatting sqref="B17:E17">
    <cfRule type="expression" dxfId="108" priority="29">
      <formula>$E17="Not applicable"</formula>
    </cfRule>
  </conditionalFormatting>
  <conditionalFormatting sqref="E17:E17">
    <cfRule type="expression" dxfId="109" priority="30">
      <formula>OR($E17="Needs answer",$E17="Explain why",LEFT($E17,6)="Review")</formula>
    </cfRule>
  </conditionalFormatting>
  <conditionalFormatting sqref="D17:D17">
    <cfRule type="expression" dxfId="110" priority="31">
      <formula>OR($C17="Unable to assess",$C17="unable_to_assess")</formula>
    </cfRule>
  </conditionalFormatting>
  <conditionalFormatting sqref="B18:E18">
    <cfRule type="expression" dxfId="111" priority="32">
      <formula>$E18="Not applicable"</formula>
    </cfRule>
  </conditionalFormatting>
  <conditionalFormatting sqref="E18:E18">
    <cfRule type="expression" dxfId="112" priority="33">
      <formula>OR($E18="Needs answer",$E18="Explain why",LEFT($E18,6)="Review")</formula>
    </cfRule>
  </conditionalFormatting>
  <conditionalFormatting sqref="D18:D18">
    <cfRule type="expression" dxfId="113" priority="34">
      <formula>OR($C18="Unable to assess",$C18="unable_to_assess")</formula>
    </cfRule>
  </conditionalFormatting>
  <conditionalFormatting sqref="B19:E19">
    <cfRule type="expression" dxfId="114" priority="35">
      <formula>$E19="Not applicable"</formula>
    </cfRule>
  </conditionalFormatting>
  <conditionalFormatting sqref="E19:E19">
    <cfRule type="expression" dxfId="115" priority="36">
      <formula>OR($E19="Needs answer",$E19="Explain why",LEFT($E19,6)="Review")</formula>
    </cfRule>
  </conditionalFormatting>
  <conditionalFormatting sqref="D19:D19">
    <cfRule type="expression" dxfId="116" priority="37">
      <formula>OR($C19="Unable to assess",$C19="unable_to_assess")</formula>
    </cfRule>
  </conditionalFormatting>
  <conditionalFormatting sqref="B20:E20">
    <cfRule type="expression" dxfId="117" priority="38">
      <formula>$E20="Not applicable"</formula>
    </cfRule>
  </conditionalFormatting>
  <conditionalFormatting sqref="E20:E20">
    <cfRule type="expression" dxfId="118" priority="39">
      <formula>OR($E20="Needs answer",$E20="Explain why",LEFT($E20,6)="Review")</formula>
    </cfRule>
  </conditionalFormatting>
  <conditionalFormatting sqref="D20:D20">
    <cfRule type="expression" dxfId="119" priority="40">
      <formula>OR($C20="Unable to assess",$C20="unable_to_assess")</formula>
    </cfRule>
  </conditionalFormatting>
  <conditionalFormatting sqref="B21:E21">
    <cfRule type="expression" dxfId="120" priority="41">
      <formula>$E21="Not applicable"</formula>
    </cfRule>
  </conditionalFormatting>
  <conditionalFormatting sqref="E21:E21">
    <cfRule type="expression" dxfId="121" priority="42">
      <formula>OR($E21="Needs answer",$E21="Explain why",LEFT($E21,6)="Review")</formula>
    </cfRule>
  </conditionalFormatting>
  <conditionalFormatting sqref="D21:D21">
    <cfRule type="expression" dxfId="122" priority="43">
      <formula>OR($C21="Unable to assess",$C21="unable_to_assess")</formula>
    </cfRule>
  </conditionalFormatting>
  <conditionalFormatting sqref="B22:E22">
    <cfRule type="expression" dxfId="123" priority="44">
      <formula>$E22="Not applicable"</formula>
    </cfRule>
  </conditionalFormatting>
  <conditionalFormatting sqref="E22:E22">
    <cfRule type="expression" dxfId="124" priority="45">
      <formula>OR($E22="Needs answer",$E22="Explain why",LEFT($E22,6)="Review")</formula>
    </cfRule>
  </conditionalFormatting>
  <conditionalFormatting sqref="D22:D22">
    <cfRule type="expression" dxfId="125" priority="46">
      <formula>OR($C22="Unable to assess",$C22="unable_to_assess")</formula>
    </cfRule>
  </conditionalFormatting>
  <conditionalFormatting sqref="B23:E23">
    <cfRule type="expression" dxfId="126" priority="47">
      <formula>$E23="Not applicable"</formula>
    </cfRule>
  </conditionalFormatting>
  <conditionalFormatting sqref="E23:E23">
    <cfRule type="expression" dxfId="127" priority="48">
      <formula>OR($E23="Needs answer",$E23="Explain why",LEFT($E23,6)="Review")</formula>
    </cfRule>
  </conditionalFormatting>
  <conditionalFormatting sqref="D23:D23">
    <cfRule type="expression" dxfId="128" priority="49">
      <formula>OR($C23="Unable to assess",$C23="unable_to_assess")</formula>
    </cfRule>
  </conditionalFormatting>
  <conditionalFormatting sqref="B24:E24">
    <cfRule type="expression" dxfId="129" priority="50">
      <formula>$E24="Not applicable"</formula>
    </cfRule>
  </conditionalFormatting>
  <conditionalFormatting sqref="E24:E24">
    <cfRule type="expression" dxfId="130" priority="51">
      <formula>OR($E24="Needs answer",$E24="Explain why",LEFT($E24,6)="Review")</formula>
    </cfRule>
  </conditionalFormatting>
  <conditionalFormatting sqref="D24:D24">
    <cfRule type="expression" dxfId="131" priority="52">
      <formula>OR($C24="Unable to assess",$C24="unable_to_assess")</formula>
    </cfRule>
  </conditionalFormatting>
  <conditionalFormatting sqref="B25:E25">
    <cfRule type="expression" dxfId="132" priority="53">
      <formula>$E25="Not applicable"</formula>
    </cfRule>
  </conditionalFormatting>
  <conditionalFormatting sqref="E25:E25">
    <cfRule type="expression" dxfId="133" priority="54">
      <formula>OR($E25="Needs answer",$E25="Explain why",LEFT($E25,6)="Review")</formula>
    </cfRule>
  </conditionalFormatting>
  <conditionalFormatting sqref="B26:E26">
    <cfRule type="expression" dxfId="134" priority="55">
      <formula>$E26="Not applicable"</formula>
    </cfRule>
  </conditionalFormatting>
  <conditionalFormatting sqref="E26:E26">
    <cfRule type="expression" dxfId="135" priority="56">
      <formula>OR($E26="Needs answer",$E26="Explain why",LEFT($E26,6)="Review")</formula>
    </cfRule>
  </conditionalFormatting>
  <dataValidations count="15">
    <dataValidation type="list" sqref="C6">
      <formula1>"Yes,No,Unable to assess"</formula1>
    </dataValidation>
    <dataValidation type="list" sqref="C9">
      <formula1>"Yes,No,Unable to assess"</formula1>
    </dataValidation>
    <dataValidation type="list" sqref="C11">
      <formula1>"Yes,No,Unable to assess"</formula1>
    </dataValidation>
    <dataValidation type="list" sqref="C13">
      <formula1>"Yes,No,Unable to assess"</formula1>
    </dataValidation>
    <dataValidation type="list" sqref="C15">
      <formula1>"Yes,No,Unable to assess"</formula1>
    </dataValidation>
    <dataValidation type="list" sqref="C16">
      <formula1>"Yes,No,Unable to assess"</formula1>
    </dataValidation>
    <dataValidation type="list" sqref="C17">
      <formula1>"Yes,No,Unable to assess"</formula1>
    </dataValidation>
    <dataValidation type="list" sqref="C18">
      <formula1>"Yes,No,Unable to assess"</formula1>
    </dataValidation>
    <dataValidation type="list" sqref="C19">
      <formula1>"Yes,No,Unable to assess"</formula1>
    </dataValidation>
    <dataValidation type="list" sqref="C20">
      <formula1>"Yes,No,Unable to assess"</formula1>
    </dataValidation>
    <dataValidation type="list" sqref="C21">
      <formula1>"Yes,No,Unable to assess"</formula1>
    </dataValidation>
    <dataValidation type="list" sqref="C22">
      <formula1>"Yes,No,Unable to assess"</formula1>
    </dataValidation>
    <dataValidation type="list" sqref="C23">
      <formula1>"Yes,No,Unable to assess"</formula1>
    </dataValidation>
    <dataValidation type="list" sqref="C24">
      <formula1>"Yes,No,Unable to assess"</formula1>
    </dataValidation>
    <dataValidation type="list" sqref="C25">
      <formula1>"Client independently changes briefs,Client needs help changing briefs,Client needs briefs changed"</formula1>
    </dataValidation>
  </dataValidations>
  <pageMargins left="0.3" right="0.3" top="0.4" bottom="0.4" header="0.2" footer="0.2"/>
  <pageSetup paperSize="1" orientation="landscape" fitToWidth="1" fitToHeight="0"/>
</worksheet>
</file>

<file path=xl/worksheets/sheet6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Medication</v>
      </c>
      <c r="C1" s="4"/>
      <c r="D1" s="5" t="str">
        <v>Section 5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34" customHeight="1">
      <c r="A6" s="3" t="str">
        <v>medication_adherence</v>
      </c>
      <c r="B6" s="13" t="str">
        <v>Medication compliant</v>
      </c>
      <c r="C6" t="str" s="50"/>
      <c r="D6" t="str" s="48"/>
      <c r="E6" s="16" t="str">
        <f>IF(NOT(TRUE),IF(OR(LEN(TRIM(C6))&gt;0,LEN(TRIM(D6))&gt;0),"Review previous answer","Not applicable"),IF(AND(LEN(TRIM(D6))&gt;0,NOT(OR(LOWER(TRIM(C6))="unable to assess",C6="unable_to_assess"))),"Review previous reason",IF(AND(OR(LOWER(TRIM(C6))="unable to assess",C6="unable_to_assess"),NOT(LEN(TRIM(D6))&gt;0)),"Explain why",IF(LEN(TRIM(C6))&gt;0,"Answered",IF(TRUE,"Needs answer","Optional")))))</f>
        <v>Needs answer</v>
      </c>
    </row>
    <row r="7" ht="39" customHeight="1">
      <c r="A7" s="3" t="str">
        <v>last_medication_refusal_date</v>
      </c>
      <c r="B7" s="21" t="inlineStr">
        <is>
          <r>
            <rPr>
              <b/>
              <sz val="12"/>
              <color rgb="FF233B32"/>
            </rPr>
            <t>Date of last medication refusal</t>
          </r>
          <r>
            <rPr>
              <b val="0"/>
              <sz val="10"/>
              <color rgb="FF59675F"/>
            </rPr>
            <t xml:space="preserve">
Only if Medication compliant is No.</t>
          </r>
        </is>
      </c>
      <c r="C7" t="str" s="51"/>
      <c r="D7" t="str" s="48"/>
      <c r="E7" s="16" t="str">
        <f>IF(NOT(AND(OR(LOWER(TRIM('05 Medication'!$C$6&amp;""))="no",LOWER(TRIM('05 Medication'!$C$6&amp;""))="no"))),IF(OR(LEN(TRIM(C7))&gt;0,LEN(TRIM(D7))&gt;0),"Review previous answer","Not applicable"),IF(AND(LEN(TRIM(D7))&gt;0,NOT(FALSE)),"Review previous reason",IF(AND(FALSE,NOT(LEN(TRIM(D7))&gt;0)),"Explain why",IF(LEN(TRIM(C7))&gt;0,"Answered",IF(OR(LOWER(TRIM('05 Medication'!$C$6&amp;""))="no",LOWER(TRIM('05 Medication'!$C$6&amp;""))="no"),"Needs answer","Optional")))))</f>
        <v>Not applicable</v>
      </c>
    </row>
    <row r="8" ht="39" customHeight="1">
      <c r="A8" s="3" t="str">
        <v>medication_refused</v>
      </c>
      <c r="B8" s="21" t="inlineStr">
        <is>
          <r>
            <rPr>
              <b/>
              <sz val="12"/>
              <color rgb="FF233B32"/>
            </rPr>
            <t>Medication refused</t>
          </r>
          <r>
            <rPr>
              <b val="0"/>
              <sz val="10"/>
              <color rgb="FF59675F"/>
            </rPr>
            <t xml:space="preserve">
Only if Medication compliant is No.</t>
          </r>
        </is>
      </c>
      <c r="C8" t="str" s="50"/>
      <c r="D8" t="str" s="48"/>
      <c r="E8" s="16" t="str">
        <f>IF(NOT(AND(OR(LOWER(TRIM('05 Medication'!$C$6&amp;""))="no",LOWER(TRIM('05 Medication'!$C$6&amp;""))="no"))),IF(OR(LEN(TRIM(C8))&gt;0,LEN(TRIM(D8))&gt;0),"Review previous answer","Not applicable"),IF(AND(LEN(TRIM(D8))&gt;0,NOT(FALSE)),"Review previous reason",IF(AND(FALSE,NOT(LEN(TRIM(D8))&gt;0)),"Explain why",IF(LEN(TRIM(C8))&gt;0,"Answered",IF(OR(LOWER(TRIM('05 Medication'!$C$6&amp;""))="no",LOWER(TRIM('05 Medication'!$C$6&amp;""))="no"),"Needs answer","Optional")))))</f>
        <v>Not applicable</v>
      </c>
    </row>
    <row r="9" ht="39" customHeight="1">
      <c r="A9" s="3" t="str">
        <v>medication_refusals_30_days</v>
      </c>
      <c r="B9" s="21" t="inlineStr">
        <is>
          <r>
            <rPr>
              <b/>
              <sz val="12"/>
              <color rgb="FF233B32"/>
            </rPr>
            <t>Refusals in the last 30 days</t>
          </r>
          <r>
            <rPr>
              <b val="0"/>
              <sz val="10"/>
              <color rgb="FF59675F"/>
            </rPr>
            <t xml:space="preserve">
Only if Medication compliant is No.</t>
          </r>
        </is>
      </c>
      <c r="C9" t="str" s="58"/>
      <c r="D9" t="str" s="48"/>
      <c r="E9" s="16" t="str">
        <f>IF(NOT(AND(OR(LOWER(TRIM('05 Medication'!$C$6&amp;""))="no",LOWER(TRIM('05 Medication'!$C$6&amp;""))="no"))),IF(OR(LEN(TRIM(C9))&gt;0,LEN(TRIM(D9))&gt;0),"Review previous answer","Not applicable"),IF(AND(LEN(TRIM(D9))&gt;0,NOT(FALSE)),"Review previous reason",IF(AND(FALSE,NOT(LEN(TRIM(D9))&gt;0)),"Explain why",IF(LEN(TRIM(C9))&gt;0,"Answered",IF(OR(LOWER(TRIM('05 Medication'!$C$6&amp;""))="no",LOWER(TRIM('05 Medication'!$C$6&amp;""))="no"),"Needs answer","Optional")))))</f>
        <v>Not applicable</v>
      </c>
    </row>
    <row r="10" ht="75" customHeight="1">
      <c r="A10" s="3" t="str">
        <v>medications_at_intake</v>
      </c>
      <c r="B10" s="21" t="inlineStr">
        <is>
          <r>
            <rPr>
              <b/>
              <sz val="12"/>
              <color rgb="FF233B32"/>
            </rPr>
            <t>Medications at intake</t>
          </r>
          <r>
            <rPr>
              <b val="0"/>
              <sz val="10"/>
              <color rgb="FF59675F"/>
            </rPr>
            <t xml:space="preserve">
Earlier entered medication history. Attach the current medication list in Files for the community handoff.
Reference only.</t>
          </r>
        </is>
      </c>
      <c r="C10" s="23" t="str"/>
      <c r="D10" s="15" t="str"/>
      <c r="E10" s="16" t="str">
        <f>"Reference only"</f>
        <v>Reference only</v>
      </c>
    </row>
    <row r="11" ht="88" customHeight="1" hidden="1">
      <c r="A11" s="3" t="str">
        <v>medications_at_intake:1</v>
      </c>
      <c r="B11" s="3" t="str">
        <v>Medications at intake (continued)</v>
      </c>
      <c r="C11" s="24" t="str"/>
      <c r="D11" s="3" t="str"/>
      <c r="E11" s="3"/>
    </row>
    <row r="12" ht="88" customHeight="1" hidden="1">
      <c r="A12" s="3" t="str">
        <v>medications_at_intake:2</v>
      </c>
      <c r="B12" s="3" t="str">
        <v>Medications at intake (continued)</v>
      </c>
      <c r="C12" s="24" t="str"/>
      <c r="D12" s="3" t="str"/>
      <c r="E12" s="3"/>
    </row>
    <row r="13" ht="88" customHeight="1" hidden="1">
      <c r="A13" s="3" t="str">
        <v>medications_at_intake:3</v>
      </c>
      <c r="B13" s="3" t="str">
        <v>Medications at intake (continued)</v>
      </c>
      <c r="C13" s="24" t="str"/>
      <c r="D13" s="3" t="str"/>
      <c r="E13" s="3"/>
    </row>
    <row r="14" ht="88" customHeight="1" hidden="1">
      <c r="A14" s="3" t="str">
        <v>medications_at_intake:4</v>
      </c>
      <c r="B14" s="3" t="str">
        <v>Medications at intake (continued)</v>
      </c>
      <c r="C14" s="24" t="str"/>
      <c r="D14" s="3" t="str"/>
      <c r="E14" s="3"/>
    </row>
    <row r="15" ht="88" customHeight="1" hidden="1">
      <c r="A15" s="3" t="str">
        <v>medications_at_intake:5</v>
      </c>
      <c r="B15" s="3" t="str">
        <v>Medications at intake (continued)</v>
      </c>
      <c r="C15" s="24" t="str"/>
      <c r="D15" s="3" t="str"/>
      <c r="E15" s="3"/>
    </row>
    <row r="16" ht="88" customHeight="1" hidden="1">
      <c r="A16" s="3" t="str">
        <v>medications_at_intake:6</v>
      </c>
      <c r="B16" s="3" t="str">
        <v>Medications at intake (continued)</v>
      </c>
      <c r="C16" s="24" t="str"/>
      <c r="D16" s="3" t="str"/>
      <c r="E16" s="3"/>
    </row>
    <row r="17" ht="88" customHeight="1" hidden="1">
      <c r="A17" s="3" t="str">
        <v>medications_at_intake:7</v>
      </c>
      <c r="B17" s="3" t="str">
        <v>Medications at intake (continued)</v>
      </c>
      <c r="C17" s="24" t="str"/>
      <c r="D17" s="3" t="str"/>
      <c r="E17" s="3"/>
    </row>
    <row r="18" ht="88" customHeight="1" hidden="1">
      <c r="A18" s="3" t="str">
        <v>medications_at_intake:8</v>
      </c>
      <c r="B18" s="3" t="str">
        <v>Medications at intake (continued)</v>
      </c>
      <c r="C18" s="24" t="str"/>
      <c r="D18" s="3" t="str"/>
      <c r="E18" s="3"/>
    </row>
    <row r="19" ht="88" customHeight="1" hidden="1">
      <c r="A19" s="3" t="str">
        <v>medications_at_intake:9</v>
      </c>
      <c r="B19" s="3" t="str">
        <v>Medications at intake (continued)</v>
      </c>
      <c r="C19" s="24" t="str"/>
      <c r="D19" s="3" t="str"/>
      <c r="E19" s="3"/>
    </row>
    <row r="20" ht="88" customHeight="1" hidden="1">
      <c r="A20" s="3" t="str">
        <v>medications_at_intake:10</v>
      </c>
      <c r="B20" s="3" t="str">
        <v>Medications at intake (continued)</v>
      </c>
      <c r="C20" s="24" t="str"/>
      <c r="D20" s="3" t="str"/>
      <c r="E20" s="3"/>
    </row>
    <row r="21" ht="88" customHeight="1" hidden="1">
      <c r="A21" s="3" t="str">
        <v>medications_at_intake:11</v>
      </c>
      <c r="B21" s="3" t="str">
        <v>Medications at intake (continued)</v>
      </c>
      <c r="C21" s="24" t="str"/>
      <c r="D21" s="3" t="str"/>
      <c r="E21" s="3"/>
    </row>
    <row r="22" ht="88" customHeight="1" hidden="1">
      <c r="A22" s="3" t="str">
        <v>medications_at_intake:12</v>
      </c>
      <c r="B22" s="3" t="str">
        <v>Medications at intake (continued)</v>
      </c>
      <c r="C22" s="24" t="str"/>
      <c r="D22" s="3" t="str"/>
      <c r="E22" s="3"/>
    </row>
    <row r="23" ht="88" customHeight="1" hidden="1">
      <c r="A23" s="3" t="str">
        <v>medications_at_intake:13</v>
      </c>
      <c r="B23" s="3" t="str">
        <v>Medications at intake (continued)</v>
      </c>
      <c r="C23" s="24" t="str"/>
      <c r="D23" s="3" t="str"/>
      <c r="E23" s="3"/>
    </row>
    <row r="24" ht="72" customHeight="1">
      <c r="A24" s="3" t="str">
        <v>prn_patterns</v>
      </c>
      <c r="B24" s="13" t="str">
        <v>PRN patterns</v>
      </c>
      <c r="C24" t="str" s="50"/>
      <c r="D24" t="str" s="48"/>
      <c r="E24" s="16" t="str">
        <f>IF(NOT(TRUE),IF(OR(LEN(TRIM(C24))&gt;0,LEN(TRIM(D24))&gt;0),"Review previous answer","Not applicable"),IF(AND(LEN(TRIM(D24))&gt;0,NOT(FALSE)),"Review previous reason",IF(AND(FALSE,NOT(LEN(TRIM(D24))&gt;0)),"Explain why",IF(LEN(TRIM(C24))&gt;0,"Answered",IF(FALSE,"Needs answer","Optional")))))</f>
        <v>Optional</v>
      </c>
    </row>
    <row r="25" ht="34" customHeight="1">
      <c r="A25" s="3" t="str">
        <v>im_injections</v>
      </c>
      <c r="B25" s="13" t="str">
        <v>IM injections</v>
      </c>
      <c r="C25" t="str" s="50"/>
      <c r="D25" t="str" s="48"/>
      <c r="E25" s="16" t="str">
        <f>IF(NOT(TRUE),IF(OR(LEN(TRIM(C25))&gt;0,LEN(TRIM(D25))&gt;0),"Review previous answer","Not applicable"),IF(AND(LEN(TRIM(D25))&gt;0,NOT(OR(LOWER(TRIM(C25))="unable to assess",C25="unable_to_assess"))),"Review previous reason",IF(AND(OR(LOWER(TRIM(C25))="unable to assess",C25="unable_to_assess"),NOT(LEN(TRIM(D25))&gt;0)),"Explain why",IF(LEN(TRIM(C25))&gt;0,"Answered",IF(TRUE,"Needs answer","Optional")))))</f>
        <v>Needs answer</v>
      </c>
    </row>
    <row r="26" ht="72" customHeight="1">
      <c r="A26" s="3" t="str">
        <v>im_injections_details</v>
      </c>
      <c r="B26" s="21" t="inlineStr">
        <is>
          <r>
            <rPr>
              <b/>
              <sz val="12"/>
              <color rgb="FF233B32"/>
            </rPr>
            <t>Injection details</t>
          </r>
          <r>
            <rPr>
              <b val="0"/>
              <sz val="10"/>
              <color rgb="FF59675F"/>
            </rPr>
            <t xml:space="preserve">
Only if IM injections is Yes.</t>
          </r>
        </is>
      </c>
      <c r="C26" t="str" s="50"/>
      <c r="D26" t="str" s="48"/>
      <c r="E26" s="16" t="str">
        <f>IF(NOT(AND(OR(LOWER(TRIM('05 Medication'!$C$25&amp;""))="yes",LOWER(TRIM('05 Medication'!$C$25&amp;""))="yes"))),IF(OR(LEN(TRIM(C26))&gt;0,LEN(TRIM(D26))&gt;0),"Review previous answer","Not applicable"),IF(AND(LEN(TRIM(D26))&gt;0,NOT(FALSE)),"Review previous reason",IF(AND(FALSE,NOT(LEN(TRIM(D26))&gt;0)),"Explain why",IF(LEN(TRIM(C26))&gt;0,"Answered",IF(FALSE,"Needs answer","Optional")))))</f>
        <v>Not applicable</v>
      </c>
    </row>
    <row r="27" ht="72" customHeight="1">
      <c r="A27" s="3" t="str">
        <v>injection_frequency</v>
      </c>
      <c r="B27" s="21" t="inlineStr">
        <is>
          <r>
            <rPr>
              <b/>
              <sz val="12"/>
              <color rgb="FF233B32"/>
            </rPr>
            <t>Injection frequency</t>
          </r>
          <r>
            <rPr>
              <b val="0"/>
              <sz val="10"/>
              <color rgb="FF59675F"/>
            </rPr>
            <t xml:space="preserve">
Only if IM injections is Yes.
Optional. For multiple medications, use one named medication per line.</t>
          </r>
        </is>
      </c>
      <c r="C27" t="str" s="50"/>
      <c r="D27" t="str" s="48"/>
      <c r="E27" s="16" t="str">
        <f>IF(NOT(AND(OR(LOWER(TRIM('05 Medication'!$C$25&amp;""))="yes",LOWER(TRIM('05 Medication'!$C$25&amp;""))="yes"))),IF(OR(LEN(TRIM(C27))&gt;0,LEN(TRIM(D27))&gt;0),"Review previous answer","Not applicable"),IF(AND(LEN(TRIM(D27))&gt;0,NOT(FALSE)),"Review previous reason",IF(AND(FALSE,NOT(LEN(TRIM(D27))&gt;0)),"Explain why",IF(LEN(TRIM(C27))&gt;0,"Answered",IF(FALSE,"Needs answer","Optional")))))</f>
        <v>Not applicable</v>
      </c>
    </row>
    <row r="28" ht="72" customHeight="1">
      <c r="A28" s="3" t="str">
        <v>last_injection</v>
      </c>
      <c r="B28" s="21" t="inlineStr">
        <is>
          <r>
            <rPr>
              <b/>
              <sz val="12"/>
              <color rgb="FF233B32"/>
            </rPr>
            <t>Last injection</t>
          </r>
          <r>
            <rPr>
              <b val="0"/>
              <sz val="10"/>
              <color rgb="FF59675F"/>
            </rPr>
            <t xml:space="preserve">
Only if IM injections is Yes.
Optional. Use one named medication per line.</t>
          </r>
        </is>
      </c>
      <c r="C28" t="str" s="50"/>
      <c r="D28" t="str" s="48"/>
      <c r="E28" s="16" t="str">
        <f>IF(NOT(AND(OR(LOWER(TRIM('05 Medication'!$C$25&amp;""))="yes",LOWER(TRIM('05 Medication'!$C$25&amp;""))="yes"))),IF(OR(LEN(TRIM(C28))&gt;0,LEN(TRIM(D28))&gt;0),"Review previous answer","Not applicable"),IF(AND(LEN(TRIM(D28))&gt;0,NOT(FALSE)),"Review previous reason",IF(AND(FALSE,NOT(LEN(TRIM(D28))&gt;0)),"Explain why",IF(LEN(TRIM(C28))&gt;0,"Answered",IF(FALSE,"Needs answer","Optional")))))</f>
        <v>Not applicable</v>
      </c>
    </row>
    <row r="29" ht="72" customHeight="1">
      <c r="A29" s="3" t="str">
        <v>next_injection_due</v>
      </c>
      <c r="B29" s="21" t="inlineStr">
        <is>
          <r>
            <rPr>
              <b/>
              <sz val="12"/>
              <color rgb="FF233B32"/>
            </rPr>
            <t>Next injection due</t>
          </r>
          <r>
            <rPr>
              <b val="0"/>
              <sz val="10"/>
              <color rgb="FF59675F"/>
            </rPr>
            <t xml:space="preserve">
Only if IM injections is Yes.
Optional. Record the known due date for each medication; no date is calculated.</t>
          </r>
        </is>
      </c>
      <c r="C29" t="str" s="50"/>
      <c r="D29" t="str" s="48"/>
      <c r="E29" s="16" t="str">
        <f>IF(NOT(AND(OR(LOWER(TRIM('05 Medication'!$C$25&amp;""))="yes",LOWER(TRIM('05 Medication'!$C$25&amp;""))="yes"))),IF(OR(LEN(TRIM(C29))&gt;0,LEN(TRIM(D29))&gt;0),"Review previous answer","Not applicable"),IF(AND(LEN(TRIM(D29))&gt;0,NOT(FALSE)),"Review previous reason",IF(AND(FALSE,NOT(LEN(TRIM(D29))&gt;0)),"Explain why",IF(LEN(TRIM(C29))&gt;0,"Answered",IF(FALSE,"Needs answer","Optional")))))</f>
        <v>Not applicable</v>
      </c>
    </row>
    <row r="30" ht="34" customHeight="1">
      <c r="A30" s="3" t="str">
        <v>lai_vs_oral</v>
      </c>
      <c r="B30" s="13" t="str">
        <v>LAI vs oral</v>
      </c>
      <c r="C30" t="str" s="50"/>
      <c r="D30" t="str" s="48"/>
      <c r="E30" s="16" t="str">
        <f>IF(NOT(TRUE),IF(OR(LEN(TRIM(C30))&gt;0,LEN(TRIM(D30))&gt;0),"Review previous answer","Not applicable"),IF(AND(LEN(TRIM(D30))&gt;0,NOT(FALSE)),"Review previous reason",IF(AND(FALSE,NOT(LEN(TRIM(D30))&gt;0)),"Explain why",IF(LEN(TRIM(C30))&gt;0,"Answered",IF(FALSE,"Needs answer","Optional")))))</f>
        <v>Optional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136" priority="1">
      <formula>$E6="Not applicable"</formula>
    </cfRule>
  </conditionalFormatting>
  <conditionalFormatting sqref="E6:E6">
    <cfRule type="expression" dxfId="137" priority="2">
      <formula>OR($E6="Needs answer",$E6="Explain why",LEFT($E6,6)="Review")</formula>
    </cfRule>
  </conditionalFormatting>
  <conditionalFormatting sqref="D6:D6">
    <cfRule type="expression" dxfId="138" priority="3">
      <formula>OR($C6="Unable to assess",$C6="unable_to_assess")</formula>
    </cfRule>
  </conditionalFormatting>
  <conditionalFormatting sqref="B7:E7">
    <cfRule type="expression" dxfId="139" priority="4">
      <formula>$E7="Not applicable"</formula>
    </cfRule>
  </conditionalFormatting>
  <conditionalFormatting sqref="E7:E7">
    <cfRule type="expression" dxfId="140" priority="5">
      <formula>OR($E7="Needs answer",$E7="Explain why",LEFT($E7,6)="Review")</formula>
    </cfRule>
  </conditionalFormatting>
  <conditionalFormatting sqref="B8:E8">
    <cfRule type="expression" dxfId="141" priority="6">
      <formula>$E8="Not applicable"</formula>
    </cfRule>
  </conditionalFormatting>
  <conditionalFormatting sqref="E8:E8">
    <cfRule type="expression" dxfId="142" priority="7">
      <formula>OR($E8="Needs answer",$E8="Explain why",LEFT($E8,6)="Review")</formula>
    </cfRule>
  </conditionalFormatting>
  <conditionalFormatting sqref="B9:E9">
    <cfRule type="expression" dxfId="143" priority="8">
      <formula>$E9="Not applicable"</formula>
    </cfRule>
  </conditionalFormatting>
  <conditionalFormatting sqref="E9:E9">
    <cfRule type="expression" dxfId="144" priority="9">
      <formula>OR($E9="Needs answer",$E9="Explain why",LEFT($E9,6)="Review")</formula>
    </cfRule>
  </conditionalFormatting>
  <conditionalFormatting sqref="B10:E10">
    <cfRule type="expression" dxfId="145" priority="10">
      <formula>$E10="Not applicable"</formula>
    </cfRule>
  </conditionalFormatting>
  <conditionalFormatting sqref="E10:E10">
    <cfRule type="expression" dxfId="146" priority="11">
      <formula>OR($E10="Needs answer",$E10="Explain why",LEFT($E10,6)="Review")</formula>
    </cfRule>
  </conditionalFormatting>
  <conditionalFormatting sqref="B24:E24">
    <cfRule type="expression" dxfId="147" priority="12">
      <formula>$E24="Not applicable"</formula>
    </cfRule>
  </conditionalFormatting>
  <conditionalFormatting sqref="E24:E24">
    <cfRule type="expression" dxfId="148" priority="13">
      <formula>OR($E24="Needs answer",$E24="Explain why",LEFT($E24,6)="Review")</formula>
    </cfRule>
  </conditionalFormatting>
  <conditionalFormatting sqref="B25:E25">
    <cfRule type="expression" dxfId="149" priority="14">
      <formula>$E25="Not applicable"</formula>
    </cfRule>
  </conditionalFormatting>
  <conditionalFormatting sqref="E25:E25">
    <cfRule type="expression" dxfId="150" priority="15">
      <formula>OR($E25="Needs answer",$E25="Explain why",LEFT($E25,6)="Review")</formula>
    </cfRule>
  </conditionalFormatting>
  <conditionalFormatting sqref="D25:D25">
    <cfRule type="expression" dxfId="151" priority="16">
      <formula>OR($C25="Unable to assess",$C25="unable_to_assess")</formula>
    </cfRule>
  </conditionalFormatting>
  <conditionalFormatting sqref="B26:E26">
    <cfRule type="expression" dxfId="152" priority="17">
      <formula>$E26="Not applicable"</formula>
    </cfRule>
  </conditionalFormatting>
  <conditionalFormatting sqref="E26:E26">
    <cfRule type="expression" dxfId="153" priority="18">
      <formula>OR($E26="Needs answer",$E26="Explain why",LEFT($E26,6)="Review")</formula>
    </cfRule>
  </conditionalFormatting>
  <conditionalFormatting sqref="B27:E27">
    <cfRule type="expression" dxfId="154" priority="19">
      <formula>$E27="Not applicable"</formula>
    </cfRule>
  </conditionalFormatting>
  <conditionalFormatting sqref="E27:E27">
    <cfRule type="expression" dxfId="155" priority="20">
      <formula>OR($E27="Needs answer",$E27="Explain why",LEFT($E27,6)="Review")</formula>
    </cfRule>
  </conditionalFormatting>
  <conditionalFormatting sqref="B28:E28">
    <cfRule type="expression" dxfId="156" priority="21">
      <formula>$E28="Not applicable"</formula>
    </cfRule>
  </conditionalFormatting>
  <conditionalFormatting sqref="E28:E28">
    <cfRule type="expression" dxfId="157" priority="22">
      <formula>OR($E28="Needs answer",$E28="Explain why",LEFT($E28,6)="Review")</formula>
    </cfRule>
  </conditionalFormatting>
  <conditionalFormatting sqref="B29:E29">
    <cfRule type="expression" dxfId="158" priority="23">
      <formula>$E29="Not applicable"</formula>
    </cfRule>
  </conditionalFormatting>
  <conditionalFormatting sqref="E29:E29">
    <cfRule type="expression" dxfId="159" priority="24">
      <formula>OR($E29="Needs answer",$E29="Explain why",LEFT($E29,6)="Review")</formula>
    </cfRule>
  </conditionalFormatting>
  <conditionalFormatting sqref="B30:E30">
    <cfRule type="expression" dxfId="160" priority="25">
      <formula>$E30="Not applicable"</formula>
    </cfRule>
  </conditionalFormatting>
  <conditionalFormatting sqref="E30:E30">
    <cfRule type="expression" dxfId="161" priority="26">
      <formula>OR($E30="Needs answer",$E30="Explain why",LEFT($E30,6)="Review")</formula>
    </cfRule>
  </conditionalFormatting>
  <dataValidations count="3">
    <dataValidation type="list" sqref="C6">
      <formula1>"Yes,No,Unable to assess"</formula1>
    </dataValidation>
    <dataValidation type="whole" operator="between" sqref="C9">
      <formula1>0</formula1>
      <formula2>10000</formula2>
    </dataValidation>
    <dataValidation type="list" sqref="C25">
      <formula1>"Yes,No,Unable to assess"</formula1>
    </dataValidation>
  </dataValidations>
  <pageMargins left="0.3" right="0.3" top="0.4" bottom="0.4" header="0.2" footer="0.2"/>
  <pageSetup paperSize="1" orientation="landscape" fitToWidth="1" fitToHeight="0"/>
</worksheet>
</file>

<file path=xl/worksheets/sheet7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Living situation</v>
      </c>
      <c r="C1" s="4"/>
      <c r="D1" s="5" t="str">
        <v>Section 6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34" customHeight="1">
      <c r="A6" s="3" t="str">
        <v>county</v>
      </c>
      <c r="B6" s="13" t="str">
        <v>County</v>
      </c>
      <c r="C6" t="str" s="50"/>
      <c r="D6" t="str" s="48"/>
      <c r="E6" s="16" t="str">
        <f>IF(NOT(TRUE),IF(OR(LEN(TRIM(C6))&gt;0,LEN(TRIM(D6))&gt;0),"Review previous answer","Not applicable"),IF(AND(LEN(TRIM(D6))&gt;0,NOT(FALSE)),"Review previous reason",IF(AND(FALSE,NOT(LEN(TRIM(D6))&gt;0)),"Explain why",IF(LEN(TRIM(C6))&gt;0,"Answered",IF(FALSE,"Needs answer","Optional")))))</f>
        <v>Optional</v>
      </c>
    </row>
    <row r="7" ht="51" customHeight="1">
      <c r="A7" s="3" t="str">
        <v>prior_setting_bucket</v>
      </c>
      <c r="B7" s="21" t="inlineStr">
        <is>
          <r>
            <rPr>
              <b/>
              <sz val="12"/>
              <color rgb="FF233B32"/>
            </rPr>
            <t>Most recent setting type</t>
          </r>
          <r>
            <rPr>
              <b val="0"/>
              <sz val="10"/>
              <color rgb="FF59675F"/>
            </rPr>
            <t xml:space="preserve">
Choose the setting the client is coming from for this referral.</t>
          </r>
        </is>
      </c>
      <c r="C7" t="str" s="50"/>
      <c r="D7" t="str" s="48"/>
      <c r="E7" s="16" t="str">
        <f>IF(NOT(TRUE),IF(OR(LEN(TRIM(C7))&gt;0,LEN(TRIM(D7))&gt;0),"Review previous answer","Not applicable"),IF(AND(LEN(TRIM(D7))&gt;0,NOT(FALSE)),"Review previous reason",IF(AND(FALSE,NOT(LEN(TRIM(D7))&gt;0)),"Explain why",IF(LEN(TRIM(C7))&gt;0,"Answered",IF(FALSE,"Needs answer","Optional")))))</f>
        <v>Optional</v>
      </c>
    </row>
    <row r="8" ht="34" customHeight="1">
      <c r="A8" s="3" t="str">
        <v>referring_facility</v>
      </c>
      <c r="B8" s="13" t="str">
        <v>Most recent facility or program</v>
      </c>
      <c r="C8" t="str" s="50"/>
      <c r="D8" t="str" s="48"/>
      <c r="E8" s="16" t="str">
        <f>IF(NOT(TRUE),IF(OR(LEN(TRIM(C8))&gt;0,LEN(TRIM(D8))&gt;0),"Review previous answer","Not applicable"),IF(AND(LEN(TRIM(D8))&gt;0,NOT(FALSE)),"Review previous reason",IF(AND(FALSE,NOT(LEN(TRIM(D8))&gt;0)),"Explain why",IF(LEN(TRIM(C8))&gt;0,"Answered",IF(FALSE,"Needs answer","Optional")))))</f>
        <v>Optional</v>
      </c>
    </row>
    <row r="9" ht="34" customHeight="1">
      <c r="A9" s="3" t="str">
        <v>admit_date</v>
      </c>
      <c r="B9" s="13" t="str">
        <v>Admit date</v>
      </c>
      <c r="C9" t="str" s="51"/>
      <c r="D9" t="str" s="48"/>
      <c r="E9" s="16" t="str">
        <f>IF(NOT(TRUE),IF(OR(LEN(TRIM(C9))&gt;0,LEN(TRIM(D9))&gt;0),"Review previous answer","Not applicable"),IF(AND(LEN(TRIM(D9))&gt;0,NOT(FALSE)),"Review previous reason",IF(AND(FALSE,NOT(LEN(TRIM(D9))&gt;0)),"Explain why",IF(LEN(TRIM(C9))&gt;0,"Answered",IF(FALSE,"Needs answer","Optional")))))</f>
        <v>Optional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162" priority="1">
      <formula>$E6="Not applicable"</formula>
    </cfRule>
  </conditionalFormatting>
  <conditionalFormatting sqref="E6:E6">
    <cfRule type="expression" dxfId="163" priority="2">
      <formula>OR($E6="Needs answer",$E6="Explain why",LEFT($E6,6)="Review")</formula>
    </cfRule>
  </conditionalFormatting>
  <conditionalFormatting sqref="B7:E7">
    <cfRule type="expression" dxfId="164" priority="3">
      <formula>$E7="Not applicable"</formula>
    </cfRule>
  </conditionalFormatting>
  <conditionalFormatting sqref="E7:E7">
    <cfRule type="expression" dxfId="165" priority="4">
      <formula>OR($E7="Needs answer",$E7="Explain why",LEFT($E7,6)="Review")</formula>
    </cfRule>
  </conditionalFormatting>
  <conditionalFormatting sqref="B8:E8">
    <cfRule type="expression" dxfId="166" priority="5">
      <formula>$E8="Not applicable"</formula>
    </cfRule>
  </conditionalFormatting>
  <conditionalFormatting sqref="E8:E8">
    <cfRule type="expression" dxfId="167" priority="6">
      <formula>OR($E8="Needs answer",$E8="Explain why",LEFT($E8,6)="Review")</formula>
    </cfRule>
  </conditionalFormatting>
  <conditionalFormatting sqref="B9:E9">
    <cfRule type="expression" dxfId="168" priority="7">
      <formula>$E9="Not applicable"</formula>
    </cfRule>
  </conditionalFormatting>
  <conditionalFormatting sqref="E9:E9">
    <cfRule type="expression" dxfId="169" priority="8">
      <formula>OR($E9="Needs answer",$E9="Explain why",LEFT($E9,6)="Review")</formula>
    </cfRule>
  </conditionalFormatting>
  <dataValidations count="1">
    <dataValidation type="list" sqref="C7">
      <formula1>"State hospital,Acute psychiatric hospital,IMD / MHRC,Skilled nursing facility,Board and care,Residential program,Jail / forensic setting,Independent or family home,Unhoused,Other"</formula1>
    </dataValidation>
  </dataValidations>
  <pageMargins left="0.3" right="0.3" top="0.4" bottom="0.4" header="0.2" footer="0.2"/>
  <pageSetup paperSize="1" orientation="landscape" fitToWidth="1" fitToHeight="0"/>
</worksheet>
</file>

<file path=xl/worksheets/sheet8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Recent care and history</v>
      </c>
      <c r="C1" s="4"/>
      <c r="D1" s="5" t="str">
        <v>Section 7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72" customHeight="1">
      <c r="A6" s="3" t="str">
        <v>prior_placements</v>
      </c>
      <c r="B6" s="13" t="str">
        <v>Earlier care placements</v>
      </c>
      <c r="C6" t="str" s="50"/>
      <c r="D6" t="str" s="48"/>
      <c r="E6" s="16" t="str">
        <f>IF(NOT(TRUE),IF(OR(LEN(TRIM(C6))&gt;0,LEN(TRIM(D6))&gt;0),"Review previous answer","Not applicable"),IF(AND(LEN(TRIM(D6))&gt;0,NOT(FALSE)),"Review previous reason",IF(AND(FALSE,NOT(LEN(TRIM(D6))&gt;0)),"Explain why",IF(LEN(TRIM(C6))&gt;0,"Answered",IF(FALSE,"Needs answer","Optional")))))</f>
        <v>Optional</v>
      </c>
    </row>
    <row r="7" ht="72" customHeight="1">
      <c r="A7" s="3" t="str">
        <v>prior_awol_failed_placements</v>
      </c>
      <c r="B7" s="13" t="str">
        <v>Prior AWOL / failed placements</v>
      </c>
      <c r="C7" t="str" s="50"/>
      <c r="D7" t="str" s="48"/>
      <c r="E7" s="16" t="str">
        <f>IF(NOT(TRUE),IF(OR(LEN(TRIM(C7))&gt;0,LEN(TRIM(D7))&gt;0),"Review previous answer","Not applicable"),IF(AND(LEN(TRIM(D7))&gt;0,NOT(FALSE)),"Review previous reason",IF(AND(FALSE,NOT(LEN(TRIM(D7))&gt;0)),"Explain why",IF(LEN(TRIM(C7))&gt;0,"Answered",IF(FALSE,"Needs answer","Optional")))))</f>
        <v>Optional</v>
      </c>
    </row>
    <row r="8" ht="72" customHeight="1">
      <c r="A8" s="3" t="str">
        <v>hospitalization_history</v>
      </c>
      <c r="B8" s="13" t="str">
        <v>Hospitalization history</v>
      </c>
      <c r="C8" t="str" s="50"/>
      <c r="D8" t="str" s="48"/>
      <c r="E8" s="16" t="str">
        <f>IF(NOT(TRUE),IF(OR(LEN(TRIM(C8))&gt;0,LEN(TRIM(D8))&gt;0),"Review previous answer","Not applicable"),IF(AND(LEN(TRIM(D8))&gt;0,NOT(FALSE)),"Review previous reason",IF(AND(FALSE,NOT(LEN(TRIM(D8))&gt;0)),"Explain why",IF(LEN(TRIM(C8))&gt;0,"Answered",IF(FALSE,"Needs answer","Optional")))))</f>
        <v>Optional</v>
      </c>
    </row>
    <row r="9" ht="34" customHeight="1">
      <c r="A9" s="3" t="str">
        <v>prior_hospitalizations_count</v>
      </c>
      <c r="B9" s="13" t="str">
        <v>Prior hospitalizations</v>
      </c>
      <c r="C9" t="str" s="58"/>
      <c r="D9" t="str" s="48"/>
      <c r="E9" s="16" t="str">
        <f>IF(NOT(TRUE),IF(OR(LEN(TRIM(C9))&gt;0,LEN(TRIM(D9))&gt;0),"Review previous answer","Not applicable"),IF(AND(LEN(TRIM(D9))&gt;0,NOT(FALSE)),"Review previous reason",IF(AND(FALSE,NOT(LEN(TRIM(D9))&gt;0)),"Explain why",IF(LEN(TRIM(C9))&gt;0,"Answered",IF(FALSE,"Needs answer","Optional")))))</f>
        <v>Optional</v>
      </c>
    </row>
    <row r="10" ht="34" customHeight="1">
      <c r="A10" s="3" t="str">
        <v>most_recent_hospitalization</v>
      </c>
      <c r="B10" s="13" t="str">
        <v>Most recent hospitalization</v>
      </c>
      <c r="C10" t="str" s="51"/>
      <c r="D10" t="str" s="48"/>
      <c r="E10" s="16" t="str">
        <f>IF(NOT(TRUE),IF(OR(LEN(TRIM(C10))&gt;0,LEN(TRIM(D10))&gt;0),"Review previous answer","Not applicable"),IF(AND(LEN(TRIM(D10))&gt;0,NOT(FALSE)),"Review previous reason",IF(AND(FALSE,NOT(LEN(TRIM(D10))&gt;0)),"Explain why",IF(LEN(TRIM(C10))&gt;0,"Answered",IF(FALSE,"Needs answer","Optional")))))</f>
        <v>Optional</v>
      </c>
    </row>
    <row r="11" ht="34" customHeight="1">
      <c r="A11" s="3" t="str">
        <v>prior_5150_5250_holds</v>
      </c>
      <c r="B11" s="13" t="str">
        <v>Prior 5150 / 5250 holds</v>
      </c>
      <c r="C11" t="str" s="50"/>
      <c r="D11" t="str" s="48"/>
      <c r="E11" s="16" t="str">
        <f>IF(NOT(TRUE),IF(OR(LEN(TRIM(C11))&gt;0,LEN(TRIM(D11))&gt;0),"Review previous answer","Not applicable"),IF(AND(LEN(TRIM(D11))&gt;0,NOT(FALSE)),"Review previous reason",IF(AND(FALSE,NOT(LEN(TRIM(D11))&gt;0)),"Explain why",IF(LEN(TRIM(C11))&gt;0,"Answered",IF(FALSE,"Needs answer","Optional")))))</f>
        <v>Optional</v>
      </c>
    </row>
    <row r="12" ht="72" customHeight="1">
      <c r="A12" s="3" t="str">
        <v>hospitalization_timeline</v>
      </c>
      <c r="B12" s="21" t="inlineStr">
        <is>
          <r>
            <rPr>
              <b/>
              <sz val="12"/>
              <color rgb="FF233B32"/>
            </rPr>
            <t>Hospitalization timeline</t>
          </r>
          <r>
            <rPr>
              <b val="0"/>
              <sz val="10"/>
              <color rgb="FF59675F"/>
            </rPr>
            <t xml:space="preserve">
Reference only.</t>
          </r>
        </is>
      </c>
      <c r="C12" s="23" t="str"/>
      <c r="D12" s="15" t="str"/>
      <c r="E12" s="16" t="str">
        <f>"Reference only"</f>
        <v>Reference only</v>
      </c>
    </row>
    <row r="13" ht="88" customHeight="1" hidden="1">
      <c r="A13" s="3" t="str">
        <v>hospitalization_timeline:1</v>
      </c>
      <c r="B13" s="3" t="str">
        <v>Hospitalization timeline (continued)</v>
      </c>
      <c r="C13" s="24" t="str"/>
      <c r="D13" s="3" t="str"/>
      <c r="E13" s="3"/>
    </row>
    <row r="14" ht="88" customHeight="1" hidden="1">
      <c r="A14" s="3" t="str">
        <v>hospitalization_timeline:2</v>
      </c>
      <c r="B14" s="3" t="str">
        <v>Hospitalization timeline (continued)</v>
      </c>
      <c r="C14" s="24" t="str"/>
      <c r="D14" s="3" t="str"/>
      <c r="E14" s="3"/>
    </row>
    <row r="15" ht="88" customHeight="1" hidden="1">
      <c r="A15" s="3" t="str">
        <v>hospitalization_timeline:3</v>
      </c>
      <c r="B15" s="3" t="str">
        <v>Hospitalization timeline (continued)</v>
      </c>
      <c r="C15" s="24" t="str"/>
      <c r="D15" s="3" t="str"/>
      <c r="E15" s="3"/>
    </row>
    <row r="16" ht="88" customHeight="1" hidden="1">
      <c r="A16" s="3" t="str">
        <v>hospitalization_timeline:4</v>
      </c>
      <c r="B16" s="3" t="str">
        <v>Hospitalization timeline (continued)</v>
      </c>
      <c r="C16" s="24" t="str"/>
      <c r="D16" s="3" t="str"/>
      <c r="E16" s="3"/>
    </row>
    <row r="17" ht="88" customHeight="1" hidden="1">
      <c r="A17" s="3" t="str">
        <v>hospitalization_timeline:5</v>
      </c>
      <c r="B17" s="3" t="str">
        <v>Hospitalization timeline (continued)</v>
      </c>
      <c r="C17" s="24" t="str"/>
      <c r="D17" s="3" t="str"/>
      <c r="E17" s="3"/>
    </row>
    <row r="18" ht="88" customHeight="1" hidden="1">
      <c r="A18" s="3" t="str">
        <v>hospitalization_timeline:6</v>
      </c>
      <c r="B18" s="3" t="str">
        <v>Hospitalization timeline (continued)</v>
      </c>
      <c r="C18" s="24" t="str"/>
      <c r="D18" s="3" t="str"/>
      <c r="E18" s="3"/>
    </row>
    <row r="19" ht="88" customHeight="1" hidden="1">
      <c r="A19" s="3" t="str">
        <v>hospitalization_timeline:7</v>
      </c>
      <c r="B19" s="3" t="str">
        <v>Hospitalization timeline (continued)</v>
      </c>
      <c r="C19" s="24" t="str"/>
      <c r="D19" s="3" t="str"/>
      <c r="E19" s="3"/>
    </row>
    <row r="20" ht="88" customHeight="1" hidden="1">
      <c r="A20" s="3" t="str">
        <v>hospitalization_timeline:8</v>
      </c>
      <c r="B20" s="3" t="str">
        <v>Hospitalization timeline (continued)</v>
      </c>
      <c r="C20" s="24" t="str"/>
      <c r="D20" s="3" t="str"/>
      <c r="E20" s="3"/>
    </row>
    <row r="21" ht="88" customHeight="1" hidden="1">
      <c r="A21" s="3" t="str">
        <v>hospitalization_timeline:9</v>
      </c>
      <c r="B21" s="3" t="str">
        <v>Hospitalization timeline (continued)</v>
      </c>
      <c r="C21" s="24" t="str"/>
      <c r="D21" s="3" t="str"/>
      <c r="E21" s="3"/>
    </row>
    <row r="22" ht="88" customHeight="1" hidden="1">
      <c r="A22" s="3" t="str">
        <v>hospitalization_timeline:10</v>
      </c>
      <c r="B22" s="3" t="str">
        <v>Hospitalization timeline (continued)</v>
      </c>
      <c r="C22" s="24" t="str"/>
      <c r="D22" s="3" t="str"/>
      <c r="E22" s="3"/>
    </row>
    <row r="23" ht="88" customHeight="1" hidden="1">
      <c r="A23" s="3" t="str">
        <v>hospitalization_timeline:11</v>
      </c>
      <c r="B23" s="3" t="str">
        <v>Hospitalization timeline (continued)</v>
      </c>
      <c r="C23" s="24" t="str"/>
      <c r="D23" s="3" t="str"/>
      <c r="E23" s="3"/>
    </row>
    <row r="24" ht="88" customHeight="1" hidden="1">
      <c r="A24" s="3" t="str">
        <v>hospitalization_timeline:12</v>
      </c>
      <c r="B24" s="3" t="str">
        <v>Hospitalization timeline (continued)</v>
      </c>
      <c r="C24" s="24" t="str"/>
      <c r="D24" s="3" t="str"/>
      <c r="E24" s="3"/>
    </row>
    <row r="25" ht="88" customHeight="1" hidden="1">
      <c r="A25" s="3" t="str">
        <v>hospitalization_timeline:13</v>
      </c>
      <c r="B25" s="3" t="str">
        <v>Hospitalization timeline (continued)</v>
      </c>
      <c r="C25" s="24" t="str"/>
      <c r="D25" s="3" t="str"/>
      <c r="E25" s="3"/>
    </row>
    <row r="26" ht="34" customHeight="1">
      <c r="A26" s="3" t="str">
        <v>crisis_er_utilization</v>
      </c>
      <c r="B26" s="13" t="str">
        <v>Crisis / ER utilization</v>
      </c>
      <c r="C26" t="str" s="50"/>
      <c r="D26" t="str" s="48"/>
      <c r="E26" s="16" t="str">
        <f>IF(NOT(TRUE),IF(OR(LEN(TRIM(C26))&gt;0,LEN(TRIM(D26))&gt;0),"Review previous answer","Not applicable"),IF(AND(LEN(TRIM(D26))&gt;0,NOT(FALSE)),"Review previous reason",IF(AND(FALSE,NOT(LEN(TRIM(D26))&gt;0)),"Explain why",IF(LEN(TRIM(C26))&gt;0,"Answered",IF(FALSE,"Needs answer","Optional")))))</f>
        <v>Optional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170" priority="1">
      <formula>$E6="Not applicable"</formula>
    </cfRule>
  </conditionalFormatting>
  <conditionalFormatting sqref="E6:E6">
    <cfRule type="expression" dxfId="171" priority="2">
      <formula>OR($E6="Needs answer",$E6="Explain why",LEFT($E6,6)="Review")</formula>
    </cfRule>
  </conditionalFormatting>
  <conditionalFormatting sqref="B7:E7">
    <cfRule type="expression" dxfId="172" priority="3">
      <formula>$E7="Not applicable"</formula>
    </cfRule>
  </conditionalFormatting>
  <conditionalFormatting sqref="E7:E7">
    <cfRule type="expression" dxfId="173" priority="4">
      <formula>OR($E7="Needs answer",$E7="Explain why",LEFT($E7,6)="Review")</formula>
    </cfRule>
  </conditionalFormatting>
  <conditionalFormatting sqref="B8:E8">
    <cfRule type="expression" dxfId="174" priority="5">
      <formula>$E8="Not applicable"</formula>
    </cfRule>
  </conditionalFormatting>
  <conditionalFormatting sqref="E8:E8">
    <cfRule type="expression" dxfId="175" priority="6">
      <formula>OR($E8="Needs answer",$E8="Explain why",LEFT($E8,6)="Review")</formula>
    </cfRule>
  </conditionalFormatting>
  <conditionalFormatting sqref="B9:E9">
    <cfRule type="expression" dxfId="176" priority="7">
      <formula>$E9="Not applicable"</formula>
    </cfRule>
  </conditionalFormatting>
  <conditionalFormatting sqref="E9:E9">
    <cfRule type="expression" dxfId="177" priority="8">
      <formula>OR($E9="Needs answer",$E9="Explain why",LEFT($E9,6)="Review")</formula>
    </cfRule>
  </conditionalFormatting>
  <conditionalFormatting sqref="B10:E10">
    <cfRule type="expression" dxfId="178" priority="9">
      <formula>$E10="Not applicable"</formula>
    </cfRule>
  </conditionalFormatting>
  <conditionalFormatting sqref="E10:E10">
    <cfRule type="expression" dxfId="179" priority="10">
      <formula>OR($E10="Needs answer",$E10="Explain why",LEFT($E10,6)="Review")</formula>
    </cfRule>
  </conditionalFormatting>
  <conditionalFormatting sqref="B11:E11">
    <cfRule type="expression" dxfId="180" priority="11">
      <formula>$E11="Not applicable"</formula>
    </cfRule>
  </conditionalFormatting>
  <conditionalFormatting sqref="E11:E11">
    <cfRule type="expression" dxfId="181" priority="12">
      <formula>OR($E11="Needs answer",$E11="Explain why",LEFT($E11,6)="Review")</formula>
    </cfRule>
  </conditionalFormatting>
  <conditionalFormatting sqref="B12:E12">
    <cfRule type="expression" dxfId="182" priority="13">
      <formula>$E12="Not applicable"</formula>
    </cfRule>
  </conditionalFormatting>
  <conditionalFormatting sqref="E12:E12">
    <cfRule type="expression" dxfId="183" priority="14">
      <formula>OR($E12="Needs answer",$E12="Explain why",LEFT($E12,6)="Review")</formula>
    </cfRule>
  </conditionalFormatting>
  <conditionalFormatting sqref="B26:E26">
    <cfRule type="expression" dxfId="184" priority="15">
      <formula>$E26="Not applicable"</formula>
    </cfRule>
  </conditionalFormatting>
  <conditionalFormatting sqref="E26:E26">
    <cfRule type="expression" dxfId="185" priority="16">
      <formula>OR($E26="Needs answer",$E26="Explain why",LEFT($E26,6)="Review")</formula>
    </cfRule>
  </conditionalFormatting>
  <pageMargins left="0.3" right="0.3" top="0.4" bottom="0.4" header="0.2" footer="0.2"/>
  <pageSetup paperSize="1" orientation="landscape" fitToWidth="1" fitToHeight="0"/>
</worksheet>
</file>

<file path=xl/worksheets/sheet9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Substance use and recovery</v>
      </c>
      <c r="C1" s="4"/>
      <c r="D1" s="5" t="str">
        <v>Section 8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34" customHeight="1">
      <c r="A6" s="3" t="str">
        <v>substance_abuse_history</v>
      </c>
      <c r="B6" s="13" t="str">
        <v>History of substance abuse</v>
      </c>
      <c r="C6" t="str" s="50"/>
      <c r="D6" t="str" s="48"/>
      <c r="E6" s="16" t="str">
        <f>IF(NOT(TRUE),IF(OR(LEN(TRIM(C6))&gt;0,LEN(TRIM(D6))&gt;0),"Review previous answer","Not applicable"),IF(AND(LEN(TRIM(D6))&gt;0,NOT(OR(LOWER(TRIM(C6))="unable to assess",C6="unable_to_assess"))),"Review previous reason",IF(AND(OR(LOWER(TRIM(C6))="unable to assess",C6="unable_to_assess"),NOT(LEN(TRIM(D6))&gt;0)),"Explain why",IF(LEN(TRIM(C6))&gt;0,"Answered",IF(TRUE,"Needs answer","Optional")))))</f>
        <v>Needs answer</v>
      </c>
    </row>
    <row r="7" ht="34" customHeight="1">
      <c r="A7" s="3" t="str">
        <v>active_substance_use</v>
      </c>
      <c r="B7" s="13" t="str">
        <v>Active substance use</v>
      </c>
      <c r="C7" t="str" s="50"/>
      <c r="D7" t="str" s="48"/>
      <c r="E7" s="16" t="str">
        <f>IF(NOT(TRUE),IF(OR(LEN(TRIM(C7))&gt;0,LEN(TRIM(D7))&gt;0),"Review previous answer","Not applicable"),IF(AND(LEN(TRIM(D7))&gt;0,NOT(OR(LOWER(TRIM(C7))="unable to assess",C7="unable_to_assess"))),"Review previous reason",IF(AND(OR(LOWER(TRIM(C7))="unable to assess",C7="unable_to_assess"),NOT(LEN(TRIM(D7))&gt;0)),"Explain why",IF(LEN(TRIM(C7))&gt;0,"Answered",IF(TRUE,"Needs answer","Optional")))))</f>
        <v>Needs answer</v>
      </c>
    </row>
    <row r="8" ht="75" customHeight="1">
      <c r="A8" s="3" t="str">
        <v>substances</v>
      </c>
      <c r="B8" s="21" t="inlineStr">
        <is>
          <r>
            <rPr>
              <b/>
              <sz val="12"/>
              <color rgb="FF233B32"/>
            </rPr>
            <t>Substances</t>
          </r>
          <r>
            <rPr>
              <b val="0"/>
              <sz val="10"/>
              <color rgb="FF59675F"/>
            </rPr>
            <t xml:space="preserve">
Only if History of substance abuse is Yes.
One per line: Opioids; Amphetamines; Marijuana; Alcohol; Other.</t>
          </r>
        </is>
      </c>
      <c r="C8" t="str" s="50"/>
      <c r="D8" t="str" s="48"/>
      <c r="E8" s="16" t="str">
        <f>IF(NOT(AND(OR(LOWER(TRIM('08 Substance use and recovery'!$C$6&amp;""))="yes",LOWER(TRIM('08 Substance use and recovery'!$C$6&amp;""))="yes"))),IF(OR(LEN(TRIM(C8&amp;""&amp;C9&amp;""&amp;C10&amp;""&amp;C11&amp;""&amp;C12&amp;""&amp;C13&amp;""&amp;C14&amp;""&amp;C15&amp;""&amp;C16&amp;""&amp;C17&amp;""&amp;C18&amp;""&amp;C19&amp;""&amp;C20&amp;""&amp;C21))&gt;0,LEN(TRIM(D8))&gt;0),"Review previous answer","Not applicable"),IF(AND(LEN(TRIM(D8))&gt;0,NOT(FALSE)),"Review previous reason",IF(AND(FALSE,NOT(LEN(TRIM(D8))&gt;0)),"Explain why",IF(LEN(TRIM(C8&amp;""&amp;C9&amp;""&amp;C10&amp;""&amp;C11&amp;""&amp;C12&amp;""&amp;C13&amp;""&amp;C14&amp;""&amp;C15&amp;""&amp;C16&amp;""&amp;C17&amp;""&amp;C18&amp;""&amp;C19&amp;""&amp;C20&amp;""&amp;C21))&gt;0,"Answered",IF(OR(LOWER(TRIM('08 Substance use and recovery'!$C$6&amp;""))="yes",LOWER(TRIM('08 Substance use and recovery'!$C$6&amp;""))="yes"),"Needs answer","Optional")))))</f>
        <v>Not applicable</v>
      </c>
    </row>
    <row r="9" ht="88" customHeight="1" hidden="1">
      <c r="A9" s="3" t="str">
        <v>substances:1</v>
      </c>
      <c r="B9" s="3" t="str">
        <v>Substances (continued)</v>
      </c>
      <c r="C9" t="str" s="57"/>
      <c r="D9" s="3" t="str"/>
      <c r="E9" s="3"/>
    </row>
    <row r="10" ht="88" customHeight="1" hidden="1">
      <c r="A10" s="3" t="str">
        <v>substances:2</v>
      </c>
      <c r="B10" s="3" t="str">
        <v>Substances (continued)</v>
      </c>
      <c r="C10" t="str" s="57"/>
      <c r="D10" s="3" t="str"/>
      <c r="E10" s="3"/>
    </row>
    <row r="11" ht="88" customHeight="1" hidden="1">
      <c r="A11" s="3" t="str">
        <v>substances:3</v>
      </c>
      <c r="B11" s="3" t="str">
        <v>Substances (continued)</v>
      </c>
      <c r="C11" t="str" s="57"/>
      <c r="D11" s="3" t="str"/>
      <c r="E11" s="3"/>
    </row>
    <row r="12" ht="88" customHeight="1" hidden="1">
      <c r="A12" s="3" t="str">
        <v>substances:4</v>
      </c>
      <c r="B12" s="3" t="str">
        <v>Substances (continued)</v>
      </c>
      <c r="C12" t="str" s="57"/>
      <c r="D12" s="3" t="str"/>
      <c r="E12" s="3"/>
    </row>
    <row r="13" ht="88" customHeight="1" hidden="1">
      <c r="A13" s="3" t="str">
        <v>substances:5</v>
      </c>
      <c r="B13" s="3" t="str">
        <v>Substances (continued)</v>
      </c>
      <c r="C13" t="str" s="57"/>
      <c r="D13" s="3" t="str"/>
      <c r="E13" s="3"/>
    </row>
    <row r="14" ht="88" customHeight="1" hidden="1">
      <c r="A14" s="3" t="str">
        <v>substances:6</v>
      </c>
      <c r="B14" s="3" t="str">
        <v>Substances (continued)</v>
      </c>
      <c r="C14" t="str" s="57"/>
      <c r="D14" s="3" t="str"/>
      <c r="E14" s="3"/>
    </row>
    <row r="15" ht="88" customHeight="1" hidden="1">
      <c r="A15" s="3" t="str">
        <v>substances:7</v>
      </c>
      <c r="B15" s="3" t="str">
        <v>Substances (continued)</v>
      </c>
      <c r="C15" t="str" s="57"/>
      <c r="D15" s="3" t="str"/>
      <c r="E15" s="3"/>
    </row>
    <row r="16" ht="88" customHeight="1" hidden="1">
      <c r="A16" s="3" t="str">
        <v>substances:8</v>
      </c>
      <c r="B16" s="3" t="str">
        <v>Substances (continued)</v>
      </c>
      <c r="C16" t="str" s="57"/>
      <c r="D16" s="3" t="str"/>
      <c r="E16" s="3"/>
    </row>
    <row r="17" ht="88" customHeight="1" hidden="1">
      <c r="A17" s="3" t="str">
        <v>substances:9</v>
      </c>
      <c r="B17" s="3" t="str">
        <v>Substances (continued)</v>
      </c>
      <c r="C17" t="str" s="57"/>
      <c r="D17" s="3" t="str"/>
      <c r="E17" s="3"/>
    </row>
    <row r="18" ht="88" customHeight="1" hidden="1">
      <c r="A18" s="3" t="str">
        <v>substances:10</v>
      </c>
      <c r="B18" s="3" t="str">
        <v>Substances (continued)</v>
      </c>
      <c r="C18" t="str" s="57"/>
      <c r="D18" s="3" t="str"/>
      <c r="E18" s="3"/>
    </row>
    <row r="19" ht="88" customHeight="1" hidden="1">
      <c r="A19" s="3" t="str">
        <v>substances:11</v>
      </c>
      <c r="B19" s="3" t="str">
        <v>Substances (continued)</v>
      </c>
      <c r="C19" t="str" s="57"/>
      <c r="D19" s="3" t="str"/>
      <c r="E19" s="3"/>
    </row>
    <row r="20" ht="88" customHeight="1" hidden="1">
      <c r="A20" s="3" t="str">
        <v>substances:12</v>
      </c>
      <c r="B20" s="3" t="str">
        <v>Substances (continued)</v>
      </c>
      <c r="C20" t="str" s="57"/>
      <c r="D20" s="3" t="str"/>
      <c r="E20" s="3"/>
    </row>
    <row r="21" ht="88" customHeight="1" hidden="1">
      <c r="A21" s="3" t="str">
        <v>substances:13</v>
      </c>
      <c r="B21" s="3" t="str">
        <v>Substances (continued)</v>
      </c>
      <c r="C21" t="str" s="57"/>
      <c r="D21" s="3" t="str"/>
      <c r="E21" s="3"/>
    </row>
    <row r="22" ht="51" customHeight="1">
      <c r="A22" s="3" t="str">
        <v>last_substance_use_date</v>
      </c>
      <c r="B22" s="21" t="inlineStr">
        <is>
          <r>
            <rPr>
              <b/>
              <sz val="12"/>
              <color rgb="FF233B32"/>
            </rPr>
            <t>Last substance use</t>
          </r>
          <r>
            <rPr>
              <b val="0"/>
              <sz val="10"/>
              <color rgb="FF59675F"/>
            </rPr>
            <t xml:space="preserve">
Only if History of substance abuse is Yes.</t>
          </r>
        </is>
      </c>
      <c r="C22" t="str" s="51"/>
      <c r="D22" t="str" s="48"/>
      <c r="E22" s="16" t="str">
        <f>IF(NOT(AND(OR(LOWER(TRIM('08 Substance use and recovery'!$C$6&amp;""))="yes",LOWER(TRIM('08 Substance use and recovery'!$C$6&amp;""))="yes"))),IF(OR(LEN(TRIM(C22))&gt;0,LEN(TRIM(D22))&gt;0),"Review previous answer","Not applicable"),IF(AND(LEN(TRIM(D22))&gt;0,NOT(FALSE)),"Review previous reason",IF(AND(FALSE,NOT(LEN(TRIM(D22))&gt;0)),"Explain why",IF(LEN(TRIM(C22))&gt;0,"Answered",IF(FALSE,"Needs answer","Optional")))))</f>
        <v>Not applicable</v>
      </c>
    </row>
    <row r="23" ht="51" customHeight="1">
      <c r="A23" s="3" t="str">
        <v>use_pattern</v>
      </c>
      <c r="B23" s="21" t="inlineStr">
        <is>
          <r>
            <rPr>
              <b/>
              <sz val="12"/>
              <color rgb="FF233B32"/>
            </rPr>
            <t>Use pattern</t>
          </r>
          <r>
            <rPr>
              <b val="0"/>
              <sz val="10"/>
              <color rgb="FF59675F"/>
            </rPr>
            <t xml:space="preserve">
Only if History of substance abuse is Yes.</t>
          </r>
        </is>
      </c>
      <c r="C23" t="str" s="50"/>
      <c r="D23" t="str" s="48"/>
      <c r="E23" s="16" t="str">
        <f>IF(NOT(AND(OR(LOWER(TRIM('08 Substance use and recovery'!$C$6&amp;""))="yes",LOWER(TRIM('08 Substance use and recovery'!$C$6&amp;""))="yes"))),IF(OR(LEN(TRIM(C23))&gt;0,LEN(TRIM(D23))&gt;0),"Review previous answer","Not applicable"),IF(AND(LEN(TRIM(D23))&gt;0,NOT(FALSE)),"Review previous reason",IF(AND(FALSE,NOT(LEN(TRIM(D23))&gt;0)),"Explain why",IF(LEN(TRIM(C23))&gt;0,"Answered",IF(OR(LOWER(TRIM('08 Substance use and recovery'!$C$6&amp;""))="yes",LOWER(TRIM('08 Substance use and recovery'!$C$6&amp;""))="yes"),"Needs answer","Optional")))))</f>
        <v>Not applicable</v>
      </c>
    </row>
    <row r="24" ht="72" customHeight="1">
      <c r="A24" s="3" t="str">
        <v>substance_effect_on_baseline</v>
      </c>
      <c r="B24" s="21" t="inlineStr">
        <is>
          <r>
            <rPr>
              <b/>
              <sz val="12"/>
              <color rgb="FF233B32"/>
            </rPr>
            <t>Effect on baseline behavior</t>
          </r>
          <r>
            <rPr>
              <b val="0"/>
              <sz val="10"/>
              <color rgb="FF59675F"/>
            </rPr>
            <t xml:space="preserve">
Only if History of substance abuse is Yes.</t>
          </r>
        </is>
      </c>
      <c r="C24" t="str" s="50"/>
      <c r="D24" t="str" s="48"/>
      <c r="E24" s="16" t="str">
        <f>IF(NOT(AND(OR(LOWER(TRIM('08 Substance use and recovery'!$C$6&amp;""))="yes",LOWER(TRIM('08 Substance use and recovery'!$C$6&amp;""))="yes"))),IF(OR(LEN(TRIM(C24))&gt;0,LEN(TRIM(D24))&gt;0),"Review previous answer","Not applicable"),IF(AND(LEN(TRIM(D24))&gt;0,NOT(FALSE)),"Review previous reason",IF(AND(FALSE,NOT(LEN(TRIM(D24))&gt;0)),"Explain why",IF(LEN(TRIM(C24))&gt;0,"Answered",IF(FALSE,"Needs answer","Optional")))))</f>
        <v>Not applicable</v>
      </c>
    </row>
    <row r="25" ht="66" customHeight="1">
      <c r="A25" s="3" t="str">
        <v>longest_sobriety_period</v>
      </c>
      <c r="B25" s="21" t="inlineStr">
        <is>
          <r>
            <rPr>
              <b/>
              <sz val="12"/>
              <color rgb="FF233B32"/>
            </rPr>
            <t>Longest sobriety in the last five years</t>
          </r>
          <r>
            <rPr>
              <b val="0"/>
              <sz val="10"/>
              <color rgb="FF59675F"/>
            </rPr>
            <t xml:space="preserve">
Only if History of substance abuse is Yes.</t>
          </r>
        </is>
      </c>
      <c r="C25" t="str" s="50"/>
      <c r="D25" t="str" s="48"/>
      <c r="E25" s="16" t="str">
        <f>IF(NOT(AND(OR(LOWER(TRIM('08 Substance use and recovery'!$C$6&amp;""))="yes",LOWER(TRIM('08 Substance use and recovery'!$C$6&amp;""))="yes"))),IF(OR(LEN(TRIM(C25))&gt;0,LEN(TRIM(D25))&gt;0),"Review previous answer","Not applicable"),IF(AND(LEN(TRIM(D25))&gt;0,NOT(FALSE)),"Review previous reason",IF(AND(FALSE,NOT(LEN(TRIM(D25))&gt;0)),"Explain why",IF(LEN(TRIM(C25))&gt;0,"Answered",IF(FALSE,"Needs answer","Optional")))))</f>
        <v>Not applicable</v>
      </c>
    </row>
    <row r="26" ht="90" customHeight="1">
      <c r="A26" s="3" t="str">
        <v>substance_use_insight</v>
      </c>
      <c r="B26" s="21" t="inlineStr">
        <is>
          <r>
            <rPr>
              <b/>
              <sz val="12"/>
              <color rgb="FF233B32"/>
            </rPr>
            <t>Acknowledgment of substance-use impact</t>
          </r>
          <r>
            <rPr>
              <b val="0"/>
              <sz val="10"/>
              <color rgb="FF59675F"/>
            </rPr>
            <t xml:space="preserve">
Only if History of substance abuse is Yes.
Does the client acknowledge how substance use affects their life?</t>
          </r>
        </is>
      </c>
      <c r="C26" t="str" s="50"/>
      <c r="D26" t="str" s="48"/>
      <c r="E26" s="16" t="str">
        <f>IF(NOT(AND(OR(LOWER(TRIM('08 Substance use and recovery'!$C$6&amp;""))="yes",LOWER(TRIM('08 Substance use and recovery'!$C$6&amp;""))="yes"))),IF(OR(LEN(TRIM(C26))&gt;0,LEN(TRIM(D26))&gt;0),"Review previous answer","Not applicable"),IF(AND(LEN(TRIM(D26))&gt;0,NOT(FALSE)),"Review previous reason",IF(AND(FALSE,NOT(LEN(TRIM(D26))&gt;0)),"Explain why",IF(LEN(TRIM(C26))&gt;0,"Answered",IF(FALSE,"Needs answer","Optional")))))</f>
        <v>Not applicable</v>
      </c>
    </row>
    <row r="27" ht="72" customHeight="1">
      <c r="A27" s="3" t="str">
        <v>substance_use_insight_details</v>
      </c>
      <c r="B27" s="21" t="inlineStr">
        <is>
          <r>
            <rPr>
              <b/>
              <sz val="12"/>
              <color rgb="FF233B32"/>
            </rPr>
            <t>Substance-use impact notes</t>
          </r>
          <r>
            <rPr>
              <b val="0"/>
              <sz val="10"/>
              <color rgb="FF59675F"/>
            </rPr>
            <t xml:space="preserve">
Only if History of substance abuse is Yes.</t>
          </r>
        </is>
      </c>
      <c r="C27" t="str" s="50"/>
      <c r="D27" t="str" s="48"/>
      <c r="E27" s="16" t="str">
        <f>IF(NOT(AND(OR(LOWER(TRIM('08 Substance use and recovery'!$C$6&amp;""))="yes",LOWER(TRIM('08 Substance use and recovery'!$C$6&amp;""))="yes"))),IF(OR(LEN(TRIM(C27))&gt;0,LEN(TRIM(D27))&gt;0),"Review previous answer","Not applicable"),IF(AND(LEN(TRIM(D27))&gt;0,NOT(FALSE)),"Review previous reason",IF(AND(FALSE,NOT(LEN(TRIM(D27))&gt;0)),"Explain why",IF(LEN(TRIM(C27))&gt;0,"Answered",IF(FALSE,"Needs answer","Optional")))))</f>
        <v>Not applicable</v>
      </c>
    </row>
    <row r="28" ht="72" customHeight="1">
      <c r="A28" s="3" t="str">
        <v>treatment_history</v>
      </c>
      <c r="B28" s="21" t="inlineStr">
        <is>
          <r>
            <rPr>
              <b/>
              <sz val="12"/>
              <color rgb="FF233B32"/>
            </rPr>
            <t>Treatment history</t>
          </r>
          <r>
            <rPr>
              <b val="0"/>
              <sz val="10"/>
              <color rgb="FF59675F"/>
            </rPr>
            <t xml:space="preserve">
Only if History of substance abuse is Yes.</t>
          </r>
        </is>
      </c>
      <c r="C28" t="str" s="50"/>
      <c r="D28" t="str" s="48"/>
      <c r="E28" s="16" t="str">
        <f>IF(NOT(AND(OR(LOWER(TRIM('08 Substance use and recovery'!$C$6&amp;""))="yes",LOWER(TRIM('08 Substance use and recovery'!$C$6&amp;""))="yes"))),IF(OR(LEN(TRIM(C28))&gt;0,LEN(TRIM(D28))&gt;0),"Review previous answer","Not applicable"),IF(AND(LEN(TRIM(D28))&gt;0,NOT(FALSE)),"Review previous reason",IF(AND(FALSE,NOT(LEN(TRIM(D28))&gt;0)),"Explain why",IF(LEN(TRIM(C28))&gt;0,"Answered",IF(FALSE,"Needs answer","Optional")))))</f>
        <v>Not applicable</v>
      </c>
    </row>
    <row r="29" ht="42" customHeight="1">
      <c r="A29" s="3" t="str">
        <v>longest_sobriety_months</v>
      </c>
      <c r="B29" s="13" t="str">
        <v>Longest sobriety in the last five years</v>
      </c>
      <c r="C29" t="str" s="58"/>
      <c r="D29" t="str" s="48"/>
      <c r="E29" s="16" t="str">
        <f>IF(NOT(TRUE),IF(OR(LEN(TRIM(C29))&gt;0,LEN(TRIM(D29))&gt;0),"Review previous answer","Not applicable"),IF(AND(LEN(TRIM(D29))&gt;0,NOT(FALSE)),"Review previous reason",IF(AND(FALSE,NOT(LEN(TRIM(D29))&gt;0)),"Explain why",IF(LEN(TRIM(C29))&gt;0,"Answered",IF(FALSE,"Needs answer","Optional")))))</f>
        <v>Optional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186" priority="1">
      <formula>$E6="Not applicable"</formula>
    </cfRule>
  </conditionalFormatting>
  <conditionalFormatting sqref="E6:E6">
    <cfRule type="expression" dxfId="187" priority="2">
      <formula>OR($E6="Needs answer",$E6="Explain why",LEFT($E6,6)="Review")</formula>
    </cfRule>
  </conditionalFormatting>
  <conditionalFormatting sqref="D6:D6">
    <cfRule type="expression" dxfId="188" priority="3">
      <formula>OR($C6="Unable to assess",$C6="unable_to_assess")</formula>
    </cfRule>
  </conditionalFormatting>
  <conditionalFormatting sqref="B7:E7">
    <cfRule type="expression" dxfId="189" priority="4">
      <formula>$E7="Not applicable"</formula>
    </cfRule>
  </conditionalFormatting>
  <conditionalFormatting sqref="E7:E7">
    <cfRule type="expression" dxfId="190" priority="5">
      <formula>OR($E7="Needs answer",$E7="Explain why",LEFT($E7,6)="Review")</formula>
    </cfRule>
  </conditionalFormatting>
  <conditionalFormatting sqref="D7:D7">
    <cfRule type="expression" dxfId="191" priority="6">
      <formula>OR($C7="Unable to assess",$C7="unable_to_assess")</formula>
    </cfRule>
  </conditionalFormatting>
  <conditionalFormatting sqref="B8:E8">
    <cfRule type="expression" dxfId="192" priority="7">
      <formula>$E8="Not applicable"</formula>
    </cfRule>
  </conditionalFormatting>
  <conditionalFormatting sqref="E8:E8">
    <cfRule type="expression" dxfId="193" priority="8">
      <formula>OR($E8="Needs answer",$E8="Explain why",LEFT($E8,6)="Review")</formula>
    </cfRule>
  </conditionalFormatting>
  <conditionalFormatting sqref="B22:E22">
    <cfRule type="expression" dxfId="194" priority="9">
      <formula>$E22="Not applicable"</formula>
    </cfRule>
  </conditionalFormatting>
  <conditionalFormatting sqref="E22:E22">
    <cfRule type="expression" dxfId="195" priority="10">
      <formula>OR($E22="Needs answer",$E22="Explain why",LEFT($E22,6)="Review")</formula>
    </cfRule>
  </conditionalFormatting>
  <conditionalFormatting sqref="B23:E23">
    <cfRule type="expression" dxfId="196" priority="11">
      <formula>$E23="Not applicable"</formula>
    </cfRule>
  </conditionalFormatting>
  <conditionalFormatting sqref="E23:E23">
    <cfRule type="expression" dxfId="197" priority="12">
      <formula>OR($E23="Needs answer",$E23="Explain why",LEFT($E23,6)="Review")</formula>
    </cfRule>
  </conditionalFormatting>
  <conditionalFormatting sqref="B24:E24">
    <cfRule type="expression" dxfId="198" priority="13">
      <formula>$E24="Not applicable"</formula>
    </cfRule>
  </conditionalFormatting>
  <conditionalFormatting sqref="E24:E24">
    <cfRule type="expression" dxfId="199" priority="14">
      <formula>OR($E24="Needs answer",$E24="Explain why",LEFT($E24,6)="Review")</formula>
    </cfRule>
  </conditionalFormatting>
  <conditionalFormatting sqref="B25:E25">
    <cfRule type="expression" dxfId="200" priority="15">
      <formula>$E25="Not applicable"</formula>
    </cfRule>
  </conditionalFormatting>
  <conditionalFormatting sqref="E25:E25">
    <cfRule type="expression" dxfId="201" priority="16">
      <formula>OR($E25="Needs answer",$E25="Explain why",LEFT($E25,6)="Review")</formula>
    </cfRule>
  </conditionalFormatting>
  <conditionalFormatting sqref="B26:E26">
    <cfRule type="expression" dxfId="202" priority="17">
      <formula>$E26="Not applicable"</formula>
    </cfRule>
  </conditionalFormatting>
  <conditionalFormatting sqref="E26:E26">
    <cfRule type="expression" dxfId="203" priority="18">
      <formula>OR($E26="Needs answer",$E26="Explain why",LEFT($E26,6)="Review")</formula>
    </cfRule>
  </conditionalFormatting>
  <conditionalFormatting sqref="B27:E27">
    <cfRule type="expression" dxfId="204" priority="19">
      <formula>$E27="Not applicable"</formula>
    </cfRule>
  </conditionalFormatting>
  <conditionalFormatting sqref="E27:E27">
    <cfRule type="expression" dxfId="205" priority="20">
      <formula>OR($E27="Needs answer",$E27="Explain why",LEFT($E27,6)="Review")</formula>
    </cfRule>
  </conditionalFormatting>
  <conditionalFormatting sqref="B28:E28">
    <cfRule type="expression" dxfId="206" priority="21">
      <formula>$E28="Not applicable"</formula>
    </cfRule>
  </conditionalFormatting>
  <conditionalFormatting sqref="E28:E28">
    <cfRule type="expression" dxfId="207" priority="22">
      <formula>OR($E28="Needs answer",$E28="Explain why",LEFT($E28,6)="Review")</formula>
    </cfRule>
  </conditionalFormatting>
  <conditionalFormatting sqref="B29:E29">
    <cfRule type="expression" dxfId="208" priority="23">
      <formula>$E29="Not applicable"</formula>
    </cfRule>
  </conditionalFormatting>
  <conditionalFormatting sqref="E29:E29">
    <cfRule type="expression" dxfId="209" priority="24">
      <formula>OR($E29="Needs answer",$E29="Explain why",LEFT($E29,6)="Review")</formula>
    </cfRule>
  </conditionalFormatting>
  <dataValidations count="5">
    <dataValidation type="list" sqref="C6">
      <formula1>"Yes,No,Unable to assess"</formula1>
    </dataValidation>
    <dataValidation type="list" sqref="C7">
      <formula1>"Yes,No,Unable to assess"</formula1>
    </dataValidation>
    <dataValidation type="list" sqref="C23">
      <formula1>"Daily,Weekly,Sporadic,Rarely"</formula1>
    </dataValidation>
    <dataValidation type="list" sqref="C25">
      <formula1>"1 month,2 months,3 months,4 months,5 months,6 months,7 months,8 months,9 months,10 months,11 months,1 year,18 months,2 years,More than 2 years"</formula1>
    </dataValidation>
    <dataValidation type="list" sqref="C26">
      <formula1>"Acknowledges impact,Partially acknowledges impact,Does not acknowledge impact,Not discussed"</formula1>
    </dataValidation>
  </dataValidations>
  <pageMargins left="0.3" right="0.3" top="0.4" bottom="0.4" header="0.2" footer="0.2"/>
  <pageSetup paperSize="1" orientation="landscape" fitToWidth="1" fitToHeight="0"/>
</worksheet>
</file>

<file path=xl/worksheets/sheet10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Safety and support</v>
      </c>
      <c r="C1" s="4"/>
      <c r="D1" s="5" t="str">
        <v>Section 9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72" customHeight="1">
      <c r="A6" s="3" t="str">
        <v>behavioral_history</v>
      </c>
      <c r="B6" s="13" t="str">
        <v>Behavioral history</v>
      </c>
      <c r="C6" t="str" s="50"/>
      <c r="D6" t="str" s="48"/>
      <c r="E6" s="16" t="str">
        <f>IF(NOT(TRUE),IF(OR(LEN(TRIM(C6))&gt;0,LEN(TRIM(D6))&gt;0),"Review previous answer","Not applicable"),IF(AND(LEN(TRIM(D6))&gt;0,NOT(FALSE)),"Review previous reason",IF(AND(FALSE,NOT(LEN(TRIM(D6))&gt;0)),"Explain why",IF(LEN(TRIM(C6))&gt;0,"Answered",IF(FALSE,"Needs answer","Optional")))))</f>
        <v>Optional</v>
      </c>
    </row>
    <row r="7" ht="51" customHeight="1">
      <c r="A7" s="3" t="str">
        <v>physical_altercations</v>
      </c>
      <c r="B7" s="21" t="inlineStr">
        <is>
          <r>
            <rPr>
              <b/>
              <sz val="12"/>
              <color rgb="FF233B32"/>
            </rPr>
            <t>Physical altercations</t>
          </r>
          <r>
            <rPr>
              <b val="0"/>
              <sz val="10"/>
              <color rgb="FF59675F"/>
            </rPr>
            <t xml:space="preserve">
With staff, other clients, or family members in a care setting.</t>
          </r>
        </is>
      </c>
      <c r="C7" t="str" s="50"/>
      <c r="D7" t="str" s="48"/>
      <c r="E7" s="16" t="str">
        <f>IF(NOT(TRUE),IF(OR(LEN(TRIM(C7))&gt;0,LEN(TRIM(D7))&gt;0),"Review previous answer","Not applicable"),IF(AND(LEN(TRIM(D7))&gt;0,NOT(OR(LOWER(TRIM(C7))="unable to assess",C7="unable_to_assess"))),"Review previous reason",IF(AND(OR(LOWER(TRIM(C7))="unable to assess",C7="unable_to_assess"),NOT(LEN(TRIM(D7))&gt;0)),"Explain why",IF(LEN(TRIM(C7))&gt;0,"Answered",IF(TRUE,"Needs answer","Optional")))))</f>
        <v>Needs answer</v>
      </c>
    </row>
    <row r="8" ht="72" customHeight="1">
      <c r="A8" s="3" t="str">
        <v>physical_altercation_details</v>
      </c>
      <c r="B8" s="21" t="inlineStr">
        <is>
          <r>
            <rPr>
              <b/>
              <sz val="12"/>
              <color rgb="FF233B32"/>
            </rPr>
            <t>Physical altercation details</t>
          </r>
          <r>
            <rPr>
              <b val="0"/>
              <sz val="10"/>
              <color rgb="FF59675F"/>
            </rPr>
            <t xml:space="preserve">
Only if Physical altercations is Yes.
Optional. Include an approximate date and response or support used, if known.</t>
          </r>
        </is>
      </c>
      <c r="C8" t="str" s="50"/>
      <c r="D8" t="str" s="48"/>
      <c r="E8" s="16" t="str">
        <f>IF(NOT(AND(OR(LOWER(TRIM('09 Safety and support'!$C$7&amp;""))="yes",LOWER(TRIM('09 Safety and support'!$C$7&amp;""))="yes"))),IF(OR(LEN(TRIM(C8))&gt;0,LEN(TRIM(D8))&gt;0),"Review previous answer","Not applicable"),IF(AND(LEN(TRIM(D8))&gt;0,NOT(FALSE)),"Review previous reason",IF(AND(FALSE,NOT(LEN(TRIM(D8))&gt;0)),"Explain why",IF(LEN(TRIM(C8))&gt;0,"Answered",IF(FALSE,"Needs answer","Optional")))))</f>
        <v>Not applicable</v>
      </c>
    </row>
    <row r="9" ht="34" customHeight="1">
      <c r="A9" s="3" t="str">
        <v>self_harm_history</v>
      </c>
      <c r="B9" s="13" t="str">
        <v>History of self-harm</v>
      </c>
      <c r="C9" t="str" s="50"/>
      <c r="D9" t="str" s="48"/>
      <c r="E9" s="16" t="str">
        <f>IF(NOT(TRUE),IF(OR(LEN(TRIM(C9))&gt;0,LEN(TRIM(D9))&gt;0),"Review previous answer","Not applicable"),IF(AND(LEN(TRIM(D9))&gt;0,NOT(OR(LOWER(TRIM(C9))="unable to assess",C9="unable_to_assess"))),"Review previous reason",IF(AND(OR(LOWER(TRIM(C9))="unable to assess",C9="unable_to_assess"),NOT(LEN(TRIM(D9))&gt;0)),"Explain why",IF(LEN(TRIM(C9))&gt;0,"Answered",IF(TRUE,"Needs answer","Optional")))))</f>
        <v>Needs answer</v>
      </c>
    </row>
    <row r="10" ht="72" customHeight="1">
      <c r="A10" s="3" t="str">
        <v>last_self_harm_incident</v>
      </c>
      <c r="B10" s="21" t="inlineStr">
        <is>
          <r>
            <rPr>
              <b/>
              <sz val="12"/>
              <color rgb="FF233B32"/>
            </rPr>
            <t>Last documented self-harm incident</t>
          </r>
          <r>
            <rPr>
              <b val="0"/>
              <sz val="10"/>
              <color rgb="FF59675F"/>
            </rPr>
            <t xml:space="preserve">
Only if History of self-harm is Yes.</t>
          </r>
        </is>
      </c>
      <c r="C10" t="str" s="50"/>
      <c r="D10" t="str" s="48"/>
      <c r="E10" s="16" t="str">
        <f>IF(NOT(AND(OR(LOWER(TRIM('09 Safety and support'!$C$9&amp;""))="yes",LOWER(TRIM('09 Safety and support'!$C$9&amp;""))="yes"))),IF(OR(LEN(TRIM(C10))&gt;0,LEN(TRIM(D10))&gt;0),"Review previous answer","Not applicable"),IF(AND(LEN(TRIM(D10))&gt;0,NOT(FALSE)),"Review previous reason",IF(AND(FALSE,NOT(LEN(TRIM(D10))&gt;0)),"Explain why",IF(LEN(TRIM(C10))&gt;0,"Answered",IF(OR(LOWER(TRIM('09 Safety and support'!$C$9&amp;""))="yes",LOWER(TRIM('09 Safety and support'!$C$9&amp;""))="yes"),"Needs answer","Optional")))))</f>
        <v>Not applicable</v>
      </c>
    </row>
    <row r="11" ht="34" customHeight="1">
      <c r="A11" s="3" t="str">
        <v>current_self_harm_ideation</v>
      </c>
      <c r="B11" s="13" t="str">
        <v>Current self-harm ideation</v>
      </c>
      <c r="C11" t="str" s="50"/>
      <c r="D11" t="str" s="48"/>
      <c r="E11" s="16" t="str">
        <f>IF(NOT(TRUE),IF(OR(LEN(TRIM(C11))&gt;0,LEN(TRIM(D11))&gt;0),"Review previous answer","Not applicable"),IF(AND(LEN(TRIM(D11))&gt;0,NOT(OR(LOWER(TRIM(C11))="unable to assess",C11="unable_to_assess"))),"Review previous reason",IF(AND(OR(LOWER(TRIM(C11))="unable to assess",C11="unable_to_assess"),NOT(LEN(TRIM(D11))&gt;0)),"Explain why",IF(LEN(TRIM(C11))&gt;0,"Answered",IF(TRUE,"Needs answer","Optional")))))</f>
        <v>Needs answer</v>
      </c>
    </row>
    <row r="12" ht="72" customHeight="1">
      <c r="A12" s="3" t="str">
        <v>current_self_harm_details</v>
      </c>
      <c r="B12" s="21" t="inlineStr">
        <is>
          <r>
            <rPr>
              <b/>
              <sz val="12"/>
              <color rgb="FF233B32"/>
            </rPr>
            <t>Current self-harm ideation details</t>
          </r>
          <r>
            <rPr>
              <b val="0"/>
              <sz val="10"/>
              <color rgb="FF59675F"/>
            </rPr>
            <t xml:space="preserve">
Only if Current self-harm ideation is Yes.</t>
          </r>
        </is>
      </c>
      <c r="C12" t="str" s="50"/>
      <c r="D12" t="str" s="48"/>
      <c r="E12" s="16" t="str">
        <f>IF(NOT(AND(OR(LOWER(TRIM('09 Safety and support'!$C$11&amp;""))="yes",LOWER(TRIM('09 Safety and support'!$C$11&amp;""))="yes"))),IF(OR(LEN(TRIM(C12))&gt;0,LEN(TRIM(D12))&gt;0),"Review previous answer","Not applicable"),IF(AND(LEN(TRIM(D12))&gt;0,NOT(FALSE)),"Review previous reason",IF(AND(FALSE,NOT(LEN(TRIM(D12))&gt;0)),"Explain why",IF(LEN(TRIM(C12))&gt;0,"Answered",IF(OR(LOWER(TRIM('09 Safety and support'!$C$11&amp;""))="yes",LOWER(TRIM('09 Safety and support'!$C$11&amp;""))="yes"),"Needs answer","Optional")))))</f>
        <v>Not applicable</v>
      </c>
    </row>
    <row r="13" ht="72" customHeight="1">
      <c r="A13" s="3" t="str">
        <v>current_safety_measures</v>
      </c>
      <c r="B13" s="21" t="inlineStr">
        <is>
          <r>
            <rPr>
              <b/>
              <sz val="12"/>
              <color rgb="FF233B32"/>
            </rPr>
            <t>Current safety measures</t>
          </r>
          <r>
            <rPr>
              <b val="0"/>
              <sz val="10"/>
              <color rgb="FF59675F"/>
            </rPr>
            <t xml:space="preserve">
Only if Current self-harm ideation is Yes.</t>
          </r>
        </is>
      </c>
      <c r="C13" t="str" s="50"/>
      <c r="D13" t="str" s="48"/>
      <c r="E13" s="16" t="str">
        <f>IF(NOT(AND(OR(LOWER(TRIM('09 Safety and support'!$C$11&amp;""))="yes",LOWER(TRIM('09 Safety and support'!$C$11&amp;""))="yes"))),IF(OR(LEN(TRIM(C13))&gt;0,LEN(TRIM(D13))&gt;0),"Review previous answer","Not applicable"),IF(AND(LEN(TRIM(D13))&gt;0,NOT(FALSE)),"Review previous reason",IF(AND(FALSE,NOT(LEN(TRIM(D13))&gt;0)),"Explain why",IF(LEN(TRIM(C13))&gt;0,"Answered",IF(OR(LOWER(TRIM('09 Safety and support'!$C$11&amp;""))="yes",LOWER(TRIM('09 Safety and support'!$C$11&amp;""))="yes"),"Needs answer","Optional")))))</f>
        <v>Not applicable</v>
      </c>
    </row>
    <row r="14" ht="51" customHeight="1">
      <c r="A14" s="3" t="str">
        <v>assault_history</v>
      </c>
      <c r="B14" s="21" t="inlineStr">
        <is>
          <r>
            <rPr>
              <b/>
              <sz val="12"/>
              <color rgb="FF233B32"/>
            </rPr>
            <t>History of assaults</t>
          </r>
          <r>
            <rPr>
              <b val="0"/>
              <sz val="10"/>
              <color rgb="FF59675F"/>
            </rPr>
            <t xml:space="preserve">
Outside care settings or involving criminal charges.</t>
          </r>
        </is>
      </c>
      <c r="C14" t="str" s="50"/>
      <c r="D14" t="str" s="48"/>
      <c r="E14" s="16" t="str">
        <f>IF(NOT(TRUE),IF(OR(LEN(TRIM(C14))&gt;0,LEN(TRIM(D14))&gt;0),"Review previous answer","Not applicable"),IF(AND(LEN(TRIM(D14))&gt;0,NOT(OR(LOWER(TRIM(C14))="unable to assess",C14="unable_to_assess"))),"Review previous reason",IF(AND(OR(LOWER(TRIM(C14))="unable to assess",C14="unable_to_assess"),NOT(LEN(TRIM(D14))&gt;0)),"Explain why",IF(LEN(TRIM(C14))&gt;0,"Answered",IF(TRUE,"Needs answer","Optional")))))</f>
        <v>Needs answer</v>
      </c>
    </row>
    <row r="15" ht="72" customHeight="1">
      <c r="A15" s="3" t="str">
        <v>last_assault_details</v>
      </c>
      <c r="B15" s="21" t="inlineStr">
        <is>
          <r>
            <rPr>
              <b/>
              <sz val="12"/>
              <color rgb="FF233B32"/>
            </rPr>
            <t>Most recent assault</t>
          </r>
          <r>
            <rPr>
              <b val="0"/>
              <sz val="10"/>
              <color rgb="FF59675F"/>
            </rPr>
            <t xml:space="preserve">
Only if History of assaults is Yes.</t>
          </r>
        </is>
      </c>
      <c r="C15" t="str" s="50"/>
      <c r="D15" t="str" s="48"/>
      <c r="E15" s="16" t="str">
        <f>IF(NOT(AND(OR(LOWER(TRIM('09 Safety and support'!$C$14&amp;""))="yes",LOWER(TRIM('09 Safety and support'!$C$14&amp;""))="yes"))),IF(OR(LEN(TRIM(C15))&gt;0,LEN(TRIM(D15))&gt;0),"Review previous answer","Not applicable"),IF(AND(LEN(TRIM(D15))&gt;0,NOT(FALSE)),"Review previous reason",IF(AND(FALSE,NOT(LEN(TRIM(D15))&gt;0)),"Explain why",IF(LEN(TRIM(C15))&gt;0,"Answered",IF(OR(LOWER(TRIM('09 Safety and support'!$C$14&amp;""))="yes",LOWER(TRIM('09 Safety and support'!$C$14&amp;""))="yes"),"Needs answer","Optional")))))</f>
        <v>Not applicable</v>
      </c>
    </row>
    <row r="16" ht="39" customHeight="1">
      <c r="A16" s="3" t="str">
        <v>assaults_last_two_years_count</v>
      </c>
      <c r="B16" s="21" t="inlineStr">
        <is>
          <r>
            <rPr>
              <b/>
              <sz val="12"/>
              <color rgb="FF233B32"/>
            </rPr>
            <t>Assaults in the last two years</t>
          </r>
          <r>
            <rPr>
              <b val="0"/>
              <sz val="10"/>
              <color rgb="FF59675F"/>
            </rPr>
            <t xml:space="preserve">
Only if History of assaults is Yes.</t>
          </r>
        </is>
      </c>
      <c r="C16" t="str" s="58"/>
      <c r="D16" t="str" s="48"/>
      <c r="E16" s="16" t="str">
        <f>IF(NOT(AND(OR(LOWER(TRIM('09 Safety and support'!$C$14&amp;""))="yes",LOWER(TRIM('09 Safety and support'!$C$14&amp;""))="yes"))),IF(OR(LEN(TRIM(C16))&gt;0,LEN(TRIM(D16))&gt;0),"Review previous answer","Not applicable"),IF(AND(LEN(TRIM(D16))&gt;0,NOT(FALSE)),"Review previous reason",IF(AND(FALSE,NOT(LEN(TRIM(D16))&gt;0)),"Explain why",IF(LEN(TRIM(C16))&gt;0,"Answered",IF(OR(LOWER(TRIM('09 Safety and support'!$C$14&amp;""))="yes",LOWER(TRIM('09 Safety and support'!$C$14&amp;""))="yes"),"Needs answer","Optional")))))</f>
        <v>Not applicable</v>
      </c>
    </row>
    <row r="17" ht="34" customHeight="1">
      <c r="A17" s="3" t="str">
        <v>elopement_history</v>
      </c>
      <c r="B17" s="13" t="str">
        <v>History of elopement</v>
      </c>
      <c r="C17" t="str" s="50"/>
      <c r="D17" t="str" s="48"/>
      <c r="E17" s="16" t="str">
        <f>IF(NOT(TRUE),IF(OR(LEN(TRIM(C17))&gt;0,LEN(TRIM(D17))&gt;0),"Review previous answer","Not applicable"),IF(AND(LEN(TRIM(D17))&gt;0,NOT(OR(LOWER(TRIM(C17))="unable to assess",C17="unable_to_assess"))),"Review previous reason",IF(AND(OR(LOWER(TRIM(C17))="unable to assess",C17="unable_to_assess"),NOT(LEN(TRIM(D17))&gt;0)),"Explain why",IF(LEN(TRIM(C17))&gt;0,"Answered",IF(TRUE,"Needs answer","Optional")))))</f>
        <v>Needs answer</v>
      </c>
    </row>
    <row r="18" ht="72" customHeight="1">
      <c r="A18" s="3" t="str">
        <v>elopement_risk</v>
      </c>
      <c r="B18" s="21" t="inlineStr">
        <is>
          <r>
            <rPr>
              <b/>
              <sz val="12"/>
              <color rgb="FF233B32"/>
            </rPr>
            <t>Elopement risk</t>
          </r>
          <r>
            <rPr>
              <b val="0"/>
              <sz val="10"/>
              <color rgb="FF59675F"/>
            </rPr>
            <t xml:space="preserve">
Only if History of elopement is Yes.</t>
          </r>
        </is>
      </c>
      <c r="C18" t="str" s="50"/>
      <c r="D18" t="str" s="48"/>
      <c r="E18" s="16" t="str">
        <f>IF(NOT(AND(OR(LOWER(TRIM('09 Safety and support'!$C$17&amp;""))="yes",LOWER(TRIM('09 Safety and support'!$C$17&amp;""))="yes"))),IF(OR(LEN(TRIM(C18))&gt;0,LEN(TRIM(D18))&gt;0),"Review previous answer","Not applicable"),IF(AND(LEN(TRIM(D18))&gt;0,NOT(FALSE)),"Review previous reason",IF(AND(FALSE,NOT(LEN(TRIM(D18))&gt;0)),"Explain why",IF(LEN(TRIM(C18))&gt;0,"Answered",IF(OR(LOWER(TRIM('09 Safety and support'!$C$17&amp;""))="yes",LOWER(TRIM('09 Safety and support'!$C$17&amp;""))="yes"),"Needs answer","Optional")))))</f>
        <v>Not applicable</v>
      </c>
    </row>
    <row r="19" ht="72" customHeight="1">
      <c r="A19" s="3" t="str">
        <v>si_hi_history</v>
      </c>
      <c r="B19" s="13" t="str">
        <v>SI / HI history</v>
      </c>
      <c r="C19" t="str" s="50"/>
      <c r="D19" t="str" s="48"/>
      <c r="E19" s="16" t="str">
        <f>IF(NOT(TRUE),IF(OR(LEN(TRIM(C19))&gt;0,LEN(TRIM(D19))&gt;0),"Review previous answer","Not applicable"),IF(AND(LEN(TRIM(D19))&gt;0,NOT(FALSE)),"Review previous reason",IF(AND(FALSE,NOT(LEN(TRIM(D19))&gt;0)),"Explain why",IF(LEN(TRIM(C19))&gt;0,"Answered",IF(FALSE,"Needs answer","Optional")))))</f>
        <v>Optional</v>
      </c>
    </row>
    <row r="20" ht="34" customHeight="1">
      <c r="A20" s="3" t="str">
        <v>triggers</v>
      </c>
      <c r="B20" s="13" t="str">
        <v>Triggers and what helps</v>
      </c>
      <c r="C20" t="str" s="50"/>
      <c r="D20" t="str" s="48"/>
      <c r="E20" s="16" t="str">
        <f>IF(NOT(TRUE),IF(OR(LEN(TRIM(C20))&gt;0,LEN(TRIM(D20))&gt;0),"Review previous answer","Not applicable"),IF(AND(LEN(TRIM(D20))&gt;0,NOT(FALSE)),"Review previous reason",IF(AND(FALSE,NOT(LEN(TRIM(D20))&gt;0)),"Explain why",IF(LEN(TRIM(C20))&gt;0,"Answered",IF(FALSE,"Needs answer","Optional")))))</f>
        <v>Optional</v>
      </c>
    </row>
    <row r="21" ht="34" customHeight="1">
      <c r="A21" s="3" t="str">
        <v>aggression_risk</v>
      </c>
      <c r="B21" s="13" t="str">
        <v>Aggression risk</v>
      </c>
      <c r="C21" t="str" s="50"/>
      <c r="D21" t="str" s="48"/>
      <c r="E21" s="16" t="str">
        <f>IF(NOT(TRUE),IF(OR(LEN(TRIM(C21))&gt;0,LEN(TRIM(D21))&gt;0),"Review previous answer","Not applicable"),IF(AND(LEN(TRIM(D21))&gt;0,NOT(FALSE)),"Review previous reason",IF(AND(FALSE,NOT(LEN(TRIM(D21))&gt;0)),"Explain why",IF(LEN(TRIM(C21))&gt;0,"Answered",IF(FALSE,"Needs answer","Optional")))))</f>
        <v>Optional</v>
      </c>
    </row>
    <row r="22" ht="34" customHeight="1">
      <c r="A22" s="3" t="str">
        <v>responds_to_internal_stimuli</v>
      </c>
      <c r="B22" s="13" t="str">
        <v>Responds to internal stimuli</v>
      </c>
      <c r="C22" t="str" s="50"/>
      <c r="D22" t="str" s="48"/>
      <c r="E22" s="16" t="str">
        <f>IF(NOT(TRUE),IF(OR(LEN(TRIM(C22))&gt;0,LEN(TRIM(D22))&gt;0),"Review previous answer","Not applicable"),IF(AND(LEN(TRIM(D22))&gt;0,NOT(FALSE)),"Review previous reason",IF(AND(FALSE,NOT(LEN(TRIM(D22))&gt;0)),"Explain why",IF(LEN(TRIM(C22))&gt;0,"Answered",IF(FALSE,"Needs answer","Optional")))))</f>
        <v>Optional</v>
      </c>
    </row>
    <row r="23" ht="34" customHeight="1">
      <c r="A23" s="3" t="str">
        <v>auditory_hallucinations</v>
      </c>
      <c r="B23" s="13" t="str">
        <v>Auditory hallucinations</v>
      </c>
      <c r="C23" t="str" s="50"/>
      <c r="D23" t="str" s="48"/>
      <c r="E23" s="16" t="str">
        <f>IF(NOT(TRUE),IF(OR(LEN(TRIM(C23))&gt;0,LEN(TRIM(D23))&gt;0),"Review previous answer","Not applicable"),IF(AND(LEN(TRIM(D23))&gt;0,NOT(FALSE)),"Review previous reason",IF(AND(FALSE,NOT(LEN(TRIM(D23))&gt;0)),"Explain why",IF(LEN(TRIM(C23))&gt;0,"Answered",IF(FALSE,"Needs answer","Optional")))))</f>
        <v>Optional</v>
      </c>
    </row>
    <row r="24" ht="42" customHeight="1">
      <c r="A24" s="3" t="str">
        <v>auditory_hallucination_nature</v>
      </c>
      <c r="B24" s="13" t="str">
        <v>Nature of auditory hallucinations</v>
      </c>
      <c r="C24" t="str" s="50"/>
      <c r="D24" t="str" s="48"/>
      <c r="E24" s="16" t="str">
        <f>IF(NOT(TRUE),IF(OR(LEN(TRIM(C24))&gt;0,LEN(TRIM(D24))&gt;0),"Review previous answer","Not applicable"),IF(AND(LEN(TRIM(D24))&gt;0,NOT(FALSE)),"Review previous reason",IF(AND(FALSE,NOT(LEN(TRIM(D24))&gt;0)),"Explain why",IF(LEN(TRIM(C24))&gt;0,"Answered",IF(FALSE,"Needs answer","Optional")))))</f>
        <v>Optional</v>
      </c>
    </row>
    <row r="25" ht="34" customHeight="1">
      <c r="A25" s="3" t="str">
        <v>auditory_hallucination_frequency</v>
      </c>
      <c r="B25" s="13" t="str">
        <v>Current auditory frequency</v>
      </c>
      <c r="C25" t="str" s="50"/>
      <c r="D25" t="str" s="48"/>
      <c r="E25" s="16" t="str">
        <f>IF(NOT(TRUE),IF(OR(LEN(TRIM(C25))&gt;0,LEN(TRIM(D25))&gt;0),"Review previous answer","Not applicable"),IF(AND(LEN(TRIM(D25))&gt;0,NOT(FALSE)),"Review previous reason",IF(AND(FALSE,NOT(LEN(TRIM(D25))&gt;0)),"Explain why",IF(LEN(TRIM(C25))&gt;0,"Answered",IF(FALSE,"Needs answer","Optional")))))</f>
        <v>Optional</v>
      </c>
    </row>
    <row r="26" ht="34" customHeight="1">
      <c r="A26" s="3" t="str">
        <v>auditory_hallucination_triggers</v>
      </c>
      <c r="B26" s="13" t="str">
        <v>Auditory triggers</v>
      </c>
      <c r="C26" t="str" s="50"/>
      <c r="D26" t="str" s="48"/>
      <c r="E26" s="16" t="str">
        <f>IF(NOT(TRUE),IF(OR(LEN(TRIM(C26))&gt;0,LEN(TRIM(D26))&gt;0),"Review previous answer","Not applicable"),IF(AND(LEN(TRIM(D26))&gt;0,NOT(FALSE)),"Review previous reason",IF(AND(FALSE,NOT(LEN(TRIM(D26))&gt;0)),"Explain why",IF(LEN(TRIM(C26))&gt;0,"Answered",IF(FALSE,"Needs answer","Optional")))))</f>
        <v>Optional</v>
      </c>
    </row>
    <row r="27" ht="34" customHeight="1">
      <c r="A27" s="3" t="str">
        <v>visual_hallucinations</v>
      </c>
      <c r="B27" s="13" t="str">
        <v>Visual hallucinations</v>
      </c>
      <c r="C27" t="str" s="50"/>
      <c r="D27" t="str" s="48"/>
      <c r="E27" s="16" t="str">
        <f>IF(NOT(TRUE),IF(OR(LEN(TRIM(C27))&gt;0,LEN(TRIM(D27))&gt;0),"Review previous answer","Not applicable"),IF(AND(LEN(TRIM(D27))&gt;0,NOT(FALSE)),"Review previous reason",IF(AND(FALSE,NOT(LEN(TRIM(D27))&gt;0)),"Explain why",IF(LEN(TRIM(C27))&gt;0,"Answered",IF(FALSE,"Needs answer","Optional")))))</f>
        <v>Optional</v>
      </c>
    </row>
    <row r="28" ht="42" customHeight="1">
      <c r="A28" s="3" t="str">
        <v>visual_hallucination_details</v>
      </c>
      <c r="B28" s="13" t="str">
        <v>Nature and frequency of visual hallucinations</v>
      </c>
      <c r="C28" t="str" s="50"/>
      <c r="D28" t="str" s="48"/>
      <c r="E28" s="16" t="str">
        <f>IF(NOT(TRUE),IF(OR(LEN(TRIM(C28))&gt;0,LEN(TRIM(D28))&gt;0),"Review previous answer","Not applicable"),IF(AND(LEN(TRIM(D28))&gt;0,NOT(FALSE)),"Review previous reason",IF(AND(FALSE,NOT(LEN(TRIM(D28))&gt;0)),"Explain why",IF(LEN(TRIM(C28))&gt;0,"Answered",IF(FALSE,"Needs answer","Optional")))))</f>
        <v>Optional</v>
      </c>
    </row>
    <row r="29" ht="34" customHeight="1">
      <c r="A29" s="3" t="str">
        <v>visual_hallucination_recent</v>
      </c>
      <c r="B29" s="13" t="str">
        <v>Recent visual hallucinations</v>
      </c>
      <c r="C29" t="str" s="50"/>
      <c r="D29" t="str" s="48"/>
      <c r="E29" s="16" t="str">
        <f>IF(NOT(TRUE),IF(OR(LEN(TRIM(C29))&gt;0,LEN(TRIM(D29))&gt;0),"Review previous answer","Not applicable"),IF(AND(LEN(TRIM(D29))&gt;0,NOT(FALSE)),"Review previous reason",IF(AND(FALSE,NOT(LEN(TRIM(D29))&gt;0)),"Explain why",IF(LEN(TRIM(C29))&gt;0,"Answered",IF(FALSE,"Needs answer","Optional")))))</f>
        <v>Optional</v>
      </c>
    </row>
    <row r="30" ht="34" customHeight="1">
      <c r="A30" s="3" t="str">
        <v>olfactory_hallucinations</v>
      </c>
      <c r="B30" s="13" t="str">
        <v>Olfactory hallucinations</v>
      </c>
      <c r="C30" t="str" s="50"/>
      <c r="D30" t="str" s="48"/>
      <c r="E30" s="16" t="str">
        <f>IF(NOT(TRUE),IF(OR(LEN(TRIM(C30))&gt;0,LEN(TRIM(D30))&gt;0),"Review previous answer","Not applicable"),IF(AND(LEN(TRIM(D30))&gt;0,NOT(FALSE)),"Review previous reason",IF(AND(FALSE,NOT(LEN(TRIM(D30))&gt;0)),"Explain why",IF(LEN(TRIM(C30))&gt;0,"Answered",IF(FALSE,"Needs answer","Optional")))))</f>
        <v>Optional</v>
      </c>
    </row>
    <row r="31" ht="34" customHeight="1">
      <c r="A31" s="3" t="str">
        <v>olfactory_hallucination_details</v>
      </c>
      <c r="B31" s="13" t="str">
        <v>Olfactory hallucination details</v>
      </c>
      <c r="C31" t="str" s="50"/>
      <c r="D31" t="str" s="48"/>
      <c r="E31" s="16" t="str">
        <f>IF(NOT(TRUE),IF(OR(LEN(TRIM(C31))&gt;0,LEN(TRIM(D31))&gt;0),"Review previous answer","Not applicable"),IF(AND(LEN(TRIM(D31))&gt;0,NOT(FALSE)),"Review previous reason",IF(AND(FALSE,NOT(LEN(TRIM(D31))&gt;0)),"Explain why",IF(LEN(TRIM(C31))&gt;0,"Answered",IF(FALSE,"Needs answer","Optional")))))</f>
        <v>Optional</v>
      </c>
    </row>
    <row r="32" ht="42" customHeight="1">
      <c r="A32" s="3" t="str">
        <v>olfactory_hallucination_impact</v>
      </c>
      <c r="B32" s="13" t="str">
        <v>Impact of olfactory hallucinations</v>
      </c>
      <c r="C32" t="str" s="50"/>
      <c r="D32" t="str" s="48"/>
      <c r="E32" s="16" t="str">
        <f>IF(NOT(TRUE),IF(OR(LEN(TRIM(C32))&gt;0,LEN(TRIM(D32))&gt;0),"Review previous answer","Not applicable"),IF(AND(LEN(TRIM(D32))&gt;0,NOT(FALSE)),"Review previous reason",IF(AND(FALSE,NOT(LEN(TRIM(D32))&gt;0)),"Explain why",IF(LEN(TRIM(C32))&gt;0,"Answered",IF(FALSE,"Needs answer","Optional")))))</f>
        <v>Optional</v>
      </c>
    </row>
    <row r="33" ht="34" customHeight="1">
      <c r="A33" s="3" t="str">
        <v>tactile_hallucinations</v>
      </c>
      <c r="B33" s="13" t="str">
        <v>Tactile hallucinations</v>
      </c>
      <c r="C33" t="str" s="50"/>
      <c r="D33" t="str" s="48"/>
      <c r="E33" s="16" t="str">
        <f>IF(NOT(TRUE),IF(OR(LEN(TRIM(C33))&gt;0,LEN(TRIM(D33))&gt;0),"Review previous answer","Not applicable"),IF(AND(LEN(TRIM(D33))&gt;0,NOT(FALSE)),"Review previous reason",IF(AND(FALSE,NOT(LEN(TRIM(D33))&gt;0)),"Explain why",IF(LEN(TRIM(C33))&gt;0,"Answered",IF(FALSE,"Needs answer","Optional")))))</f>
        <v>Optional</v>
      </c>
    </row>
    <row r="34" ht="34" customHeight="1">
      <c r="A34" s="3" t="str">
        <v>tactile_hallucination_details</v>
      </c>
      <c r="B34" s="13" t="str">
        <v>Tactile hallucination details</v>
      </c>
      <c r="C34" t="str" s="50"/>
      <c r="D34" t="str" s="48"/>
      <c r="E34" s="16" t="str">
        <f>IF(NOT(TRUE),IF(OR(LEN(TRIM(C34))&gt;0,LEN(TRIM(D34))&gt;0),"Review previous answer","Not applicable"),IF(AND(LEN(TRIM(D34))&gt;0,NOT(FALSE)),"Review previous reason",IF(AND(FALSE,NOT(LEN(TRIM(D34))&gt;0)),"Explain why",IF(LEN(TRIM(C34))&gt;0,"Answered",IF(FALSE,"Needs answer","Optional")))))</f>
        <v>Optional</v>
      </c>
    </row>
    <row r="35" ht="34" customHeight="1">
      <c r="A35" s="3" t="str">
        <v>tactile_hallucination_frequency</v>
      </c>
      <c r="B35" s="13" t="str">
        <v>Tactile hallucination frequency</v>
      </c>
      <c r="C35" t="str" s="50"/>
      <c r="D35" t="str" s="48"/>
      <c r="E35" s="16" t="str">
        <f>IF(NOT(TRUE),IF(OR(LEN(TRIM(C35))&gt;0,LEN(TRIM(D35))&gt;0),"Review previous answer","Not applicable"),IF(AND(LEN(TRIM(D35))&gt;0,NOT(FALSE)),"Review previous reason",IF(AND(FALSE,NOT(LEN(TRIM(D35))&gt;0)),"Explain why",IF(LEN(TRIM(C35))&gt;0,"Answered",IF(FALSE,"Needs answer","Optional")))))</f>
        <v>Optional</v>
      </c>
    </row>
    <row r="36" ht="34" customHeight="1">
      <c r="A36" s="3" t="str">
        <v>gustatory_hallucinations</v>
      </c>
      <c r="B36" s="13" t="str">
        <v>Gustatory hallucinations</v>
      </c>
      <c r="C36" t="str" s="50"/>
      <c r="D36" t="str" s="48"/>
      <c r="E36" s="16" t="str">
        <f>IF(NOT(TRUE),IF(OR(LEN(TRIM(C36))&gt;0,LEN(TRIM(D36))&gt;0),"Review previous answer","Not applicable"),IF(AND(LEN(TRIM(D36))&gt;0,NOT(FALSE)),"Review previous reason",IF(AND(FALSE,NOT(LEN(TRIM(D36))&gt;0)),"Explain why",IF(LEN(TRIM(C36))&gt;0,"Answered",IF(FALSE,"Needs answer","Optional")))))</f>
        <v>Optional</v>
      </c>
    </row>
    <row r="37" ht="34" customHeight="1">
      <c r="A37" s="3" t="str">
        <v>gustatory_hallucination_details</v>
      </c>
      <c r="B37" s="13" t="str">
        <v>Gustatory hallucination details</v>
      </c>
      <c r="C37" t="str" s="50"/>
      <c r="D37" t="str" s="48"/>
      <c r="E37" s="16" t="str">
        <f>IF(NOT(TRUE),IF(OR(LEN(TRIM(C37))&gt;0,LEN(TRIM(D37))&gt;0),"Review previous answer","Not applicable"),IF(AND(LEN(TRIM(D37))&gt;0,NOT(FALSE)),"Review previous reason",IF(AND(FALSE,NOT(LEN(TRIM(D37))&gt;0)),"Explain why",IF(LEN(TRIM(C37))&gt;0,"Answered",IF(FALSE,"Needs answer","Optional")))))</f>
        <v>Optional</v>
      </c>
    </row>
    <row r="38" ht="34" customHeight="1">
      <c r="A38" s="3" t="str">
        <v>hallucination_coping_strategies</v>
      </c>
      <c r="B38" s="13" t="str">
        <v>Hallucination coping strategies</v>
      </c>
      <c r="C38" t="str" s="50"/>
      <c r="D38" t="str" s="48"/>
      <c r="E38" s="16" t="str">
        <f>IF(NOT(TRUE),IF(OR(LEN(TRIM(C38))&gt;0,LEN(TRIM(D38))&gt;0),"Review previous answer","Not applicable"),IF(AND(LEN(TRIM(D38))&gt;0,NOT(FALSE)),"Review previous reason",IF(AND(FALSE,NOT(LEN(TRIM(D38))&gt;0)),"Explain why",IF(LEN(TRIM(C38))&gt;0,"Answered",IF(FALSE,"Needs answer","Optional")))))</f>
        <v>Optional</v>
      </c>
    </row>
    <row r="39" ht="42" customHeight="1">
      <c r="A39" s="3" t="str">
        <v>hallucination_distress_impairment</v>
      </c>
      <c r="B39" s="13" t="str">
        <v>Hallucination distress or impairment</v>
      </c>
      <c r="C39" t="str" s="50"/>
      <c r="D39" t="str" s="48"/>
      <c r="E39" s="16" t="str">
        <f>IF(NOT(TRUE),IF(OR(LEN(TRIM(C39))&gt;0,LEN(TRIM(D39))&gt;0),"Review previous answer","Not applicable"),IF(AND(LEN(TRIM(D39))&gt;0,NOT(FALSE)),"Review previous reason",IF(AND(FALSE,NOT(LEN(TRIM(D39))&gt;0)),"Explain why",IF(LEN(TRIM(C39))&gt;0,"Answered",IF(FALSE,"Needs answer","Optional")))))</f>
        <v>Optional</v>
      </c>
    </row>
    <row r="40" ht="34" customHeight="1">
      <c r="A40" s="3" t="str">
        <v>hallucination_functional_impact</v>
      </c>
      <c r="B40" s="13" t="str">
        <v>Impact on daily functioning</v>
      </c>
      <c r="C40" t="str" s="50"/>
      <c r="D40" t="str" s="48"/>
      <c r="E40" s="16" t="str">
        <f>IF(NOT(TRUE),IF(OR(LEN(TRIM(C40))&gt;0,LEN(TRIM(D40))&gt;0),"Review previous answer","Not applicable"),IF(AND(LEN(TRIM(D40))&gt;0,NOT(FALSE)),"Review previous reason",IF(AND(FALSE,NOT(LEN(TRIM(D40))&gt;0)),"Explain why",IF(LEN(TRIM(C40))&gt;0,"Answered",IF(FALSE,"Needs answer","Optional")))))</f>
        <v>Optional</v>
      </c>
    </row>
    <row r="41" ht="42" customHeight="1">
      <c r="A41" s="3" t="str">
        <v>hallucination_treatment_history</v>
      </c>
      <c r="B41" s="13" t="str">
        <v>Professional discussion and treatment</v>
      </c>
      <c r="C41" t="str" s="50"/>
      <c r="D41" t="str" s="48"/>
      <c r="E41" s="16" t="str">
        <f>IF(NOT(TRUE),IF(OR(LEN(TRIM(C41))&gt;0,LEN(TRIM(D41))&gt;0),"Review previous answer","Not applicable"),IF(AND(LEN(TRIM(D41))&gt;0,NOT(FALSE)),"Review previous reason",IF(AND(FALSE,NOT(LEN(TRIM(D41))&gt;0)),"Explain why",IF(LEN(TRIM(C41))&gt;0,"Answered",IF(FALSE,"Needs answer","Optional")))))</f>
        <v>Optional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210" priority="1">
      <formula>$E6="Not applicable"</formula>
    </cfRule>
  </conditionalFormatting>
  <conditionalFormatting sqref="E6:E6">
    <cfRule type="expression" dxfId="211" priority="2">
      <formula>OR($E6="Needs answer",$E6="Explain why",LEFT($E6,6)="Review")</formula>
    </cfRule>
  </conditionalFormatting>
  <conditionalFormatting sqref="B7:E7">
    <cfRule type="expression" dxfId="212" priority="3">
      <formula>$E7="Not applicable"</formula>
    </cfRule>
  </conditionalFormatting>
  <conditionalFormatting sqref="E7:E7">
    <cfRule type="expression" dxfId="213" priority="4">
      <formula>OR($E7="Needs answer",$E7="Explain why",LEFT($E7,6)="Review")</formula>
    </cfRule>
  </conditionalFormatting>
  <conditionalFormatting sqref="D7:D7">
    <cfRule type="expression" dxfId="214" priority="5">
      <formula>OR($C7="Unable to assess",$C7="unable_to_assess")</formula>
    </cfRule>
  </conditionalFormatting>
  <conditionalFormatting sqref="B8:E8">
    <cfRule type="expression" dxfId="215" priority="6">
      <formula>$E8="Not applicable"</formula>
    </cfRule>
  </conditionalFormatting>
  <conditionalFormatting sqref="E8:E8">
    <cfRule type="expression" dxfId="216" priority="7">
      <formula>OR($E8="Needs answer",$E8="Explain why",LEFT($E8,6)="Review")</formula>
    </cfRule>
  </conditionalFormatting>
  <conditionalFormatting sqref="B9:E9">
    <cfRule type="expression" dxfId="217" priority="8">
      <formula>$E9="Not applicable"</formula>
    </cfRule>
  </conditionalFormatting>
  <conditionalFormatting sqref="E9:E9">
    <cfRule type="expression" dxfId="218" priority="9">
      <formula>OR($E9="Needs answer",$E9="Explain why",LEFT($E9,6)="Review")</formula>
    </cfRule>
  </conditionalFormatting>
  <conditionalFormatting sqref="D9:D9">
    <cfRule type="expression" dxfId="219" priority="10">
      <formula>OR($C9="Unable to assess",$C9="unable_to_assess")</formula>
    </cfRule>
  </conditionalFormatting>
  <conditionalFormatting sqref="B10:E10">
    <cfRule type="expression" dxfId="220" priority="11">
      <formula>$E10="Not applicable"</formula>
    </cfRule>
  </conditionalFormatting>
  <conditionalFormatting sqref="E10:E10">
    <cfRule type="expression" dxfId="221" priority="12">
      <formula>OR($E10="Needs answer",$E10="Explain why",LEFT($E10,6)="Review")</formula>
    </cfRule>
  </conditionalFormatting>
  <conditionalFormatting sqref="B11:E11">
    <cfRule type="expression" dxfId="222" priority="13">
      <formula>$E11="Not applicable"</formula>
    </cfRule>
  </conditionalFormatting>
  <conditionalFormatting sqref="E11:E11">
    <cfRule type="expression" dxfId="223" priority="14">
      <formula>OR($E11="Needs answer",$E11="Explain why",LEFT($E11,6)="Review")</formula>
    </cfRule>
  </conditionalFormatting>
  <conditionalFormatting sqref="D11:D11">
    <cfRule type="expression" dxfId="224" priority="15">
      <formula>OR($C11="Unable to assess",$C11="unable_to_assess")</formula>
    </cfRule>
  </conditionalFormatting>
  <conditionalFormatting sqref="B12:E12">
    <cfRule type="expression" dxfId="225" priority="16">
      <formula>$E12="Not applicable"</formula>
    </cfRule>
  </conditionalFormatting>
  <conditionalFormatting sqref="E12:E12">
    <cfRule type="expression" dxfId="226" priority="17">
      <formula>OR($E12="Needs answer",$E12="Explain why",LEFT($E12,6)="Review")</formula>
    </cfRule>
  </conditionalFormatting>
  <conditionalFormatting sqref="B13:E13">
    <cfRule type="expression" dxfId="227" priority="18">
      <formula>$E13="Not applicable"</formula>
    </cfRule>
  </conditionalFormatting>
  <conditionalFormatting sqref="E13:E13">
    <cfRule type="expression" dxfId="228" priority="19">
      <formula>OR($E13="Needs answer",$E13="Explain why",LEFT($E13,6)="Review")</formula>
    </cfRule>
  </conditionalFormatting>
  <conditionalFormatting sqref="B14:E14">
    <cfRule type="expression" dxfId="229" priority="20">
      <formula>$E14="Not applicable"</formula>
    </cfRule>
  </conditionalFormatting>
  <conditionalFormatting sqref="E14:E14">
    <cfRule type="expression" dxfId="230" priority="21">
      <formula>OR($E14="Needs answer",$E14="Explain why",LEFT($E14,6)="Review")</formula>
    </cfRule>
  </conditionalFormatting>
  <conditionalFormatting sqref="D14:D14">
    <cfRule type="expression" dxfId="231" priority="22">
      <formula>OR($C14="Unable to assess",$C14="unable_to_assess")</formula>
    </cfRule>
  </conditionalFormatting>
  <conditionalFormatting sqref="B15:E15">
    <cfRule type="expression" dxfId="232" priority="23">
      <formula>$E15="Not applicable"</formula>
    </cfRule>
  </conditionalFormatting>
  <conditionalFormatting sqref="E15:E15">
    <cfRule type="expression" dxfId="233" priority="24">
      <formula>OR($E15="Needs answer",$E15="Explain why",LEFT($E15,6)="Review")</formula>
    </cfRule>
  </conditionalFormatting>
  <conditionalFormatting sqref="B16:E16">
    <cfRule type="expression" dxfId="234" priority="25">
      <formula>$E16="Not applicable"</formula>
    </cfRule>
  </conditionalFormatting>
  <conditionalFormatting sqref="E16:E16">
    <cfRule type="expression" dxfId="235" priority="26">
      <formula>OR($E16="Needs answer",$E16="Explain why",LEFT($E16,6)="Review")</formula>
    </cfRule>
  </conditionalFormatting>
  <conditionalFormatting sqref="B17:E17">
    <cfRule type="expression" dxfId="236" priority="27">
      <formula>$E17="Not applicable"</formula>
    </cfRule>
  </conditionalFormatting>
  <conditionalFormatting sqref="E17:E17">
    <cfRule type="expression" dxfId="237" priority="28">
      <formula>OR($E17="Needs answer",$E17="Explain why",LEFT($E17,6)="Review")</formula>
    </cfRule>
  </conditionalFormatting>
  <conditionalFormatting sqref="D17:D17">
    <cfRule type="expression" dxfId="238" priority="29">
      <formula>OR($C17="Unable to assess",$C17="unable_to_assess")</formula>
    </cfRule>
  </conditionalFormatting>
  <conditionalFormatting sqref="B18:E18">
    <cfRule type="expression" dxfId="239" priority="30">
      <formula>$E18="Not applicable"</formula>
    </cfRule>
  </conditionalFormatting>
  <conditionalFormatting sqref="E18:E18">
    <cfRule type="expression" dxfId="240" priority="31">
      <formula>OR($E18="Needs answer",$E18="Explain why",LEFT($E18,6)="Review")</formula>
    </cfRule>
  </conditionalFormatting>
  <conditionalFormatting sqref="B19:E19">
    <cfRule type="expression" dxfId="241" priority="32">
      <formula>$E19="Not applicable"</formula>
    </cfRule>
  </conditionalFormatting>
  <conditionalFormatting sqref="E19:E19">
    <cfRule type="expression" dxfId="242" priority="33">
      <formula>OR($E19="Needs answer",$E19="Explain why",LEFT($E19,6)="Review")</formula>
    </cfRule>
  </conditionalFormatting>
  <conditionalFormatting sqref="B20:E20">
    <cfRule type="expression" dxfId="243" priority="34">
      <formula>$E20="Not applicable"</formula>
    </cfRule>
  </conditionalFormatting>
  <conditionalFormatting sqref="E20:E20">
    <cfRule type="expression" dxfId="244" priority="35">
      <formula>OR($E20="Needs answer",$E20="Explain why",LEFT($E20,6)="Review")</formula>
    </cfRule>
  </conditionalFormatting>
  <conditionalFormatting sqref="B21:E21">
    <cfRule type="expression" dxfId="245" priority="36">
      <formula>$E21="Not applicable"</formula>
    </cfRule>
  </conditionalFormatting>
  <conditionalFormatting sqref="E21:E21">
    <cfRule type="expression" dxfId="246" priority="37">
      <formula>OR($E21="Needs answer",$E21="Explain why",LEFT($E21,6)="Review")</formula>
    </cfRule>
  </conditionalFormatting>
  <conditionalFormatting sqref="B22:E22">
    <cfRule type="expression" dxfId="247" priority="38">
      <formula>$E22="Not applicable"</formula>
    </cfRule>
  </conditionalFormatting>
  <conditionalFormatting sqref="E22:E22">
    <cfRule type="expression" dxfId="248" priority="39">
      <formula>OR($E22="Needs answer",$E22="Explain why",LEFT($E22,6)="Review")</formula>
    </cfRule>
  </conditionalFormatting>
  <conditionalFormatting sqref="B23:E23">
    <cfRule type="expression" dxfId="249" priority="40">
      <formula>$E23="Not applicable"</formula>
    </cfRule>
  </conditionalFormatting>
  <conditionalFormatting sqref="E23:E23">
    <cfRule type="expression" dxfId="250" priority="41">
      <formula>OR($E23="Needs answer",$E23="Explain why",LEFT($E23,6)="Review")</formula>
    </cfRule>
  </conditionalFormatting>
  <conditionalFormatting sqref="B24:E24">
    <cfRule type="expression" dxfId="251" priority="42">
      <formula>$E24="Not applicable"</formula>
    </cfRule>
  </conditionalFormatting>
  <conditionalFormatting sqref="E24:E24">
    <cfRule type="expression" dxfId="252" priority="43">
      <formula>OR($E24="Needs answer",$E24="Explain why",LEFT($E24,6)="Review")</formula>
    </cfRule>
  </conditionalFormatting>
  <conditionalFormatting sqref="B25:E25">
    <cfRule type="expression" dxfId="253" priority="44">
      <formula>$E25="Not applicable"</formula>
    </cfRule>
  </conditionalFormatting>
  <conditionalFormatting sqref="E25:E25">
    <cfRule type="expression" dxfId="254" priority="45">
      <formula>OR($E25="Needs answer",$E25="Explain why",LEFT($E25,6)="Review")</formula>
    </cfRule>
  </conditionalFormatting>
  <conditionalFormatting sqref="B26:E26">
    <cfRule type="expression" dxfId="255" priority="46">
      <formula>$E26="Not applicable"</formula>
    </cfRule>
  </conditionalFormatting>
  <conditionalFormatting sqref="E26:E26">
    <cfRule type="expression" dxfId="256" priority="47">
      <formula>OR($E26="Needs answer",$E26="Explain why",LEFT($E26,6)="Review")</formula>
    </cfRule>
  </conditionalFormatting>
  <conditionalFormatting sqref="B27:E27">
    <cfRule type="expression" dxfId="257" priority="48">
      <formula>$E27="Not applicable"</formula>
    </cfRule>
  </conditionalFormatting>
  <conditionalFormatting sqref="E27:E27">
    <cfRule type="expression" dxfId="258" priority="49">
      <formula>OR($E27="Needs answer",$E27="Explain why",LEFT($E27,6)="Review")</formula>
    </cfRule>
  </conditionalFormatting>
  <conditionalFormatting sqref="B28:E28">
    <cfRule type="expression" dxfId="259" priority="50">
      <formula>$E28="Not applicable"</formula>
    </cfRule>
  </conditionalFormatting>
  <conditionalFormatting sqref="E28:E28">
    <cfRule type="expression" dxfId="260" priority="51">
      <formula>OR($E28="Needs answer",$E28="Explain why",LEFT($E28,6)="Review")</formula>
    </cfRule>
  </conditionalFormatting>
  <conditionalFormatting sqref="B29:E29">
    <cfRule type="expression" dxfId="261" priority="52">
      <formula>$E29="Not applicable"</formula>
    </cfRule>
  </conditionalFormatting>
  <conditionalFormatting sqref="E29:E29">
    <cfRule type="expression" dxfId="262" priority="53">
      <formula>OR($E29="Needs answer",$E29="Explain why",LEFT($E29,6)="Review")</formula>
    </cfRule>
  </conditionalFormatting>
  <conditionalFormatting sqref="B30:E30">
    <cfRule type="expression" dxfId="263" priority="54">
      <formula>$E30="Not applicable"</formula>
    </cfRule>
  </conditionalFormatting>
  <conditionalFormatting sqref="E30:E30">
    <cfRule type="expression" dxfId="264" priority="55">
      <formula>OR($E30="Needs answer",$E30="Explain why",LEFT($E30,6)="Review")</formula>
    </cfRule>
  </conditionalFormatting>
  <conditionalFormatting sqref="B31:E31">
    <cfRule type="expression" dxfId="265" priority="56">
      <formula>$E31="Not applicable"</formula>
    </cfRule>
  </conditionalFormatting>
  <conditionalFormatting sqref="E31:E31">
    <cfRule type="expression" dxfId="266" priority="57">
      <formula>OR($E31="Needs answer",$E31="Explain why",LEFT($E31,6)="Review")</formula>
    </cfRule>
  </conditionalFormatting>
  <conditionalFormatting sqref="B32:E32">
    <cfRule type="expression" dxfId="267" priority="58">
      <formula>$E32="Not applicable"</formula>
    </cfRule>
  </conditionalFormatting>
  <conditionalFormatting sqref="E32:E32">
    <cfRule type="expression" dxfId="268" priority="59">
      <formula>OR($E32="Needs answer",$E32="Explain why",LEFT($E32,6)="Review")</formula>
    </cfRule>
  </conditionalFormatting>
  <conditionalFormatting sqref="B33:E33">
    <cfRule type="expression" dxfId="269" priority="60">
      <formula>$E33="Not applicable"</formula>
    </cfRule>
  </conditionalFormatting>
  <conditionalFormatting sqref="E33:E33">
    <cfRule type="expression" dxfId="270" priority="61">
      <formula>OR($E33="Needs answer",$E33="Explain why",LEFT($E33,6)="Review")</formula>
    </cfRule>
  </conditionalFormatting>
  <conditionalFormatting sqref="B34:E34">
    <cfRule type="expression" dxfId="271" priority="62">
      <formula>$E34="Not applicable"</formula>
    </cfRule>
  </conditionalFormatting>
  <conditionalFormatting sqref="E34:E34">
    <cfRule type="expression" dxfId="272" priority="63">
      <formula>OR($E34="Needs answer",$E34="Explain why",LEFT($E34,6)="Review")</formula>
    </cfRule>
  </conditionalFormatting>
  <conditionalFormatting sqref="B35:E35">
    <cfRule type="expression" dxfId="273" priority="64">
      <formula>$E35="Not applicable"</formula>
    </cfRule>
  </conditionalFormatting>
  <conditionalFormatting sqref="E35:E35">
    <cfRule type="expression" dxfId="274" priority="65">
      <formula>OR($E35="Needs answer",$E35="Explain why",LEFT($E35,6)="Review")</formula>
    </cfRule>
  </conditionalFormatting>
  <conditionalFormatting sqref="B36:E36">
    <cfRule type="expression" dxfId="275" priority="66">
      <formula>$E36="Not applicable"</formula>
    </cfRule>
  </conditionalFormatting>
  <conditionalFormatting sqref="E36:E36">
    <cfRule type="expression" dxfId="276" priority="67">
      <formula>OR($E36="Needs answer",$E36="Explain why",LEFT($E36,6)="Review")</formula>
    </cfRule>
  </conditionalFormatting>
  <conditionalFormatting sqref="B37:E37">
    <cfRule type="expression" dxfId="277" priority="68">
      <formula>$E37="Not applicable"</formula>
    </cfRule>
  </conditionalFormatting>
  <conditionalFormatting sqref="E37:E37">
    <cfRule type="expression" dxfId="278" priority="69">
      <formula>OR($E37="Needs answer",$E37="Explain why",LEFT($E37,6)="Review")</formula>
    </cfRule>
  </conditionalFormatting>
  <conditionalFormatting sqref="B38:E38">
    <cfRule type="expression" dxfId="279" priority="70">
      <formula>$E38="Not applicable"</formula>
    </cfRule>
  </conditionalFormatting>
  <conditionalFormatting sqref="E38:E38">
    <cfRule type="expression" dxfId="280" priority="71">
      <formula>OR($E38="Needs answer",$E38="Explain why",LEFT($E38,6)="Review")</formula>
    </cfRule>
  </conditionalFormatting>
  <conditionalFormatting sqref="B39:E39">
    <cfRule type="expression" dxfId="281" priority="72">
      <formula>$E39="Not applicable"</formula>
    </cfRule>
  </conditionalFormatting>
  <conditionalFormatting sqref="E39:E39">
    <cfRule type="expression" dxfId="282" priority="73">
      <formula>OR($E39="Needs answer",$E39="Explain why",LEFT($E39,6)="Review")</formula>
    </cfRule>
  </conditionalFormatting>
  <conditionalFormatting sqref="B40:E40">
    <cfRule type="expression" dxfId="283" priority="74">
      <formula>$E40="Not applicable"</formula>
    </cfRule>
  </conditionalFormatting>
  <conditionalFormatting sqref="E40:E40">
    <cfRule type="expression" dxfId="284" priority="75">
      <formula>OR($E40="Needs answer",$E40="Explain why",LEFT($E40,6)="Review")</formula>
    </cfRule>
  </conditionalFormatting>
  <conditionalFormatting sqref="B41:E41">
    <cfRule type="expression" dxfId="285" priority="76">
      <formula>$E41="Not applicable"</formula>
    </cfRule>
  </conditionalFormatting>
  <conditionalFormatting sqref="E41:E41">
    <cfRule type="expression" dxfId="286" priority="77">
      <formula>OR($E41="Needs answer",$E41="Explain why",LEFT($E41,6)="Review")</formula>
    </cfRule>
  </conditionalFormatting>
  <dataValidations count="6">
    <dataValidation type="list" sqref="C7">
      <formula1>"Yes,No,Unable to assess"</formula1>
    </dataValidation>
    <dataValidation type="list" sqref="C9">
      <formula1>"Yes,No,Unable to assess"</formula1>
    </dataValidation>
    <dataValidation type="list" sqref="C11">
      <formula1>"Yes,No,Unable to assess"</formula1>
    </dataValidation>
    <dataValidation type="list" sqref="C14">
      <formula1>"Yes,No,Unable to assess"</formula1>
    </dataValidation>
    <dataValidation type="whole" operator="between" sqref="C16">
      <formula1>0</formula1>
      <formula2>10000</formula2>
    </dataValidation>
    <dataValidation type="list" sqref="C17">
      <formula1>"Yes,No,Unable to assess"</formula1>
    </dataValidation>
  </dataValidations>
  <pageMargins left="0.3" right="0.3" top="0.4" bottom="0.4" header="0.2" footer="0.2"/>
  <pageSetup paperSize="1" orientation="landscape" fitToWidth="1" fitToHeight="0"/>
</worksheet>
</file>

<file path=xl/worksheets/sheet11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Decisions and legal support</v>
      </c>
      <c r="C1" s="4"/>
      <c r="D1" s="5" t="str">
        <v>Section 10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34" customHeight="1">
      <c r="A6" s="3" t="str">
        <v>conservatorship_type</v>
      </c>
      <c r="B6" s="13" t="str">
        <v>Conserved status</v>
      </c>
      <c r="C6" t="str" s="50"/>
      <c r="D6" t="str" s="48"/>
      <c r="E6" s="16" t="str">
        <f>IF(NOT(TRUE),IF(OR(LEN(TRIM(C6))&gt;0,LEN(TRIM(D6))&gt;0),"Review previous answer","Not applicable"),IF(AND(LEN(TRIM(D6))&gt;0,NOT(FALSE)),"Review previous reason",IF(AND(FALSE,NOT(LEN(TRIM(D6))&gt;0)),"Explain why",IF(LEN(TRIM(C6))&gt;0,"Answered",IF(TRUE,"Needs answer","Optional")))))</f>
        <v>Needs answer</v>
      </c>
    </row>
    <row r="7" ht="51" customHeight="1">
      <c r="A7" s="3" t="str">
        <v>conservator_name</v>
      </c>
      <c r="B7" s="21" t="inlineStr">
        <is>
          <r>
            <rPr>
              <b/>
              <sz val="12"/>
              <color rgb="FF233B32"/>
            </rPr>
            <t>Conservator name</t>
          </r>
          <r>
            <rPr>
              <b val="0"/>
              <sz val="10"/>
              <color rgb="FF59675F"/>
            </rPr>
            <t xml:space="preserve">
Only if Conserved status is not Non-Conserved.</t>
          </r>
        </is>
      </c>
      <c r="C7" t="str" s="50"/>
      <c r="D7" t="str" s="48"/>
      <c r="E7" s="16" t="str">
        <f>IF(NOT(AND(AND(LEN(LOWER(TRIM('10 Decisions and legal support'!$C$6&amp;"")))&gt;0,NOT(OR(LOWER(TRIM('10 Decisions and legal support'!$C$6&amp;""))="non_conserved",LOWER(TRIM('10 Decisions and legal support'!$C$6&amp;""))="non-conserved"))))),IF(OR(LEN(TRIM(C7))&gt;0,LEN(TRIM(D7))&gt;0),"Review previous answer","Not applicable"),IF(AND(LEN(TRIM(D7))&gt;0,NOT(FALSE)),"Review previous reason",IF(AND(FALSE,NOT(LEN(TRIM(D7))&gt;0)),"Explain why",IF(LEN(TRIM(C7))&gt;0,"Answered",IF(AND(LEN(LOWER(TRIM('10 Decisions and legal support'!$C$6&amp;"")))&gt;0,NOT(OR(LOWER(TRIM('10 Decisions and legal support'!$C$6&amp;""))="non_conserved",LOWER(TRIM('10 Decisions and legal support'!$C$6&amp;""))="non-conserved"))),"Needs answer","Optional")))))</f>
        <v>Not applicable</v>
      </c>
    </row>
    <row r="8" ht="51" customHeight="1">
      <c r="A8" s="3" t="str">
        <v>conservatorship_status</v>
      </c>
      <c r="B8" s="21" t="inlineStr">
        <is>
          <r>
            <rPr>
              <b/>
              <sz val="12"/>
              <color rgb="FF233B32"/>
            </rPr>
            <t>Conservatorship details</t>
          </r>
          <r>
            <rPr>
              <b val="0"/>
              <sz val="10"/>
              <color rgb="FF59675F"/>
            </rPr>
            <t xml:space="preserve">
Only if Conserved status is not Non-Conserved.</t>
          </r>
        </is>
      </c>
      <c r="C8" t="str" s="50"/>
      <c r="D8" t="str" s="48"/>
      <c r="E8" s="16" t="str">
        <f>IF(NOT(AND(AND(LEN(LOWER(TRIM('10 Decisions and legal support'!$C$6&amp;"")))&gt;0,NOT(OR(LOWER(TRIM('10 Decisions and legal support'!$C$6&amp;""))="non_conserved",LOWER(TRIM('10 Decisions and legal support'!$C$6&amp;""))="non-conserved"))))),IF(OR(LEN(TRIM(C8))&gt;0,LEN(TRIM(D8))&gt;0),"Review previous answer","Not applicable"),IF(AND(LEN(TRIM(D8))&gt;0,NOT(FALSE)),"Review previous reason",IF(AND(FALSE,NOT(LEN(TRIM(D8))&gt;0)),"Explain why",IF(LEN(TRIM(C8))&gt;0,"Answered",IF(FALSE,"Needs answer","Optional")))))</f>
        <v>Not applicable</v>
      </c>
    </row>
    <row r="9" ht="34" customHeight="1">
      <c r="A9" s="3" t="str">
        <v>hold_type</v>
      </c>
      <c r="B9" s="13" t="str">
        <v>Hold type</v>
      </c>
      <c r="C9" t="str" s="50"/>
      <c r="D9" t="str" s="48"/>
      <c r="E9" s="16" t="str">
        <f>IF(NOT(TRUE),IF(OR(LEN(TRIM(C9))&gt;0,LEN(TRIM(D9))&gt;0),"Review previous answer","Not applicable"),IF(AND(LEN(TRIM(D9))&gt;0,NOT(FALSE)),"Review previous reason",IF(AND(FALSE,NOT(LEN(TRIM(D9))&gt;0)),"Explain why",IF(LEN(TRIM(C9))&gt;0,"Answered",IF(FALSE,"Needs answer","Optional")))))</f>
        <v>Optional</v>
      </c>
    </row>
    <row r="10" ht="72" customHeight="1">
      <c r="A10" s="3" t="str">
        <v>forensic_history</v>
      </c>
      <c r="B10" s="13" t="str">
        <v>Forensic history</v>
      </c>
      <c r="C10" t="str" s="50"/>
      <c r="D10" t="str" s="48"/>
      <c r="E10" s="16" t="str">
        <f>IF(NOT(TRUE),IF(OR(LEN(TRIM(C10))&gt;0,LEN(TRIM(D10))&gt;0),"Review previous answer","Not applicable"),IF(AND(LEN(TRIM(D10))&gt;0,NOT(FALSE)),"Review previous reason",IF(AND(FALSE,NOT(LEN(TRIM(D10))&gt;0)),"Explain why",IF(LEN(TRIM(C10))&gt;0,"Answered",IF(FALSE,"Needs answer","Optional")))))</f>
        <v>Optional</v>
      </c>
    </row>
    <row r="11" ht="34" customHeight="1">
      <c r="A11" s="3" t="str">
        <v>pc290_registration</v>
      </c>
      <c r="B11" s="13" t="str">
        <v>PC 290 registration</v>
      </c>
      <c r="C11" t="str" s="50"/>
      <c r="D11" t="str" s="48"/>
      <c r="E11" s="16" t="str">
        <f>IF(NOT(TRUE),IF(OR(LEN(TRIM(C11))&gt;0,LEN(TRIM(D11))&gt;0),"Review previous answer","Not applicable"),IF(AND(LEN(TRIM(D11))&gt;0,NOT(OR(LOWER(TRIM(C11))="unable to assess",C11="unable_to_assess"))),"Review previous reason",IF(AND(OR(LOWER(TRIM(C11))="unable to assess",C11="unable_to_assess"),NOT(LEN(TRIM(D11))&gt;0)),"Explain why",IF(LEN(TRIM(C11))&gt;0,"Answered",IF(TRUE,"Needs answer","Optional")))))</f>
        <v>Needs answer</v>
      </c>
    </row>
    <row r="12" ht="34" customHeight="1">
      <c r="A12" s="3" t="str">
        <v>arson_history</v>
      </c>
      <c r="B12" s="13" t="str">
        <v>Arson history</v>
      </c>
      <c r="C12" t="str" s="50"/>
      <c r="D12" t="str" s="48"/>
      <c r="E12" s="16" t="str">
        <f>IF(NOT(TRUE),IF(OR(LEN(TRIM(C12))&gt;0,LEN(TRIM(D12))&gt;0),"Review previous answer","Not applicable"),IF(AND(LEN(TRIM(D12))&gt;0,NOT(OR(LOWER(TRIM(C12))="unable to assess",C12="unable_to_assess"))),"Review previous reason",IF(AND(OR(LOWER(TRIM(C12))="unable to assess",C12="unable_to_assess"),NOT(LEN(TRIM(D12))&gt;0)),"Explain why",IF(LEN(TRIM(C12))&gt;0,"Answered",IF(TRUE,"Needs answer","Optional")))))</f>
        <v>Needs answer</v>
      </c>
    </row>
    <row r="13" ht="34" customHeight="1">
      <c r="A13" s="3" t="str">
        <v>diversion_client</v>
      </c>
      <c r="B13" s="13" t="str">
        <v>Diversion client</v>
      </c>
      <c r="C13" t="str" s="50"/>
      <c r="D13" t="str" s="48"/>
      <c r="E13" s="16" t="str">
        <f>IF(NOT(TRUE),IF(OR(LEN(TRIM(C13))&gt;0,LEN(TRIM(D13))&gt;0),"Review previous answer","Not applicable"),IF(AND(LEN(TRIM(D13))&gt;0,NOT(OR(LOWER(TRIM(C13))="unable to assess",C13="unable_to_assess"))),"Review previous reason",IF(AND(OR(LOWER(TRIM(C13))="unable to assess",C13="unable_to_assess"),NOT(LEN(TRIM(D13))&gt;0)),"Explain why",IF(LEN(TRIM(C13))&gt;0,"Answered",IF(TRUE,"Needs answer","Optional")))))</f>
        <v>Needs answer</v>
      </c>
    </row>
    <row r="14" ht="72" customHeight="1">
      <c r="A14" s="3" t="str">
        <v>court_requirements</v>
      </c>
      <c r="B14" s="13" t="str">
        <v>Court requirements</v>
      </c>
      <c r="C14" t="str" s="50"/>
      <c r="D14" t="str" s="48"/>
      <c r="E14" s="16" t="str">
        <f>IF(NOT(TRUE),IF(OR(LEN(TRIM(C14))&gt;0,LEN(TRIM(D14))&gt;0),"Review previous answer","Not applicable"),IF(AND(LEN(TRIM(D14))&gt;0,NOT(FALSE)),"Review previous reason",IF(AND(FALSE,NOT(LEN(TRIM(D14))&gt;0)),"Explain why",IF(LEN(TRIM(C14))&gt;0,"Answered",IF(FALSE,"Needs answer","Optional")))))</f>
        <v>Optional</v>
      </c>
    </row>
    <row r="15" ht="72" customHeight="1">
      <c r="A15" s="3" t="str">
        <v>court_dates</v>
      </c>
      <c r="B15" s="13" t="str">
        <v>Court dates</v>
      </c>
      <c r="C15" t="str" s="50"/>
      <c r="D15" t="str" s="48"/>
      <c r="E15" s="16" t="str">
        <f>IF(NOT(TRUE),IF(OR(LEN(TRIM(C15))&gt;0,LEN(TRIM(D15))&gt;0),"Review previous answer","Not applicable"),IF(AND(LEN(TRIM(D15))&gt;0,NOT(FALSE)),"Review previous reason",IF(AND(FALSE,NOT(LEN(TRIM(D15))&gt;0)),"Explain why",IF(LEN(TRIM(C15))&gt;0,"Answered",IF(FALSE,"Needs answer","Optional")))))</f>
        <v>Optional</v>
      </c>
    </row>
    <row r="16" ht="72" customHeight="1">
      <c r="A16" s="3" t="str">
        <v>probation_parole_justice</v>
      </c>
      <c r="B16" s="13" t="str">
        <v>Probation / parole / justice</v>
      </c>
      <c r="C16" t="str" s="50"/>
      <c r="D16" t="str" s="48"/>
      <c r="E16" s="16" t="str">
        <f>IF(NOT(TRUE),IF(OR(LEN(TRIM(C16))&gt;0,LEN(TRIM(D16))&gt;0),"Review previous answer","Not applicable"),IF(AND(LEN(TRIM(D16))&gt;0,NOT(FALSE)),"Review previous reason",IF(AND(FALSE,NOT(LEN(TRIM(D16))&gt;0)),"Explain why",IF(LEN(TRIM(C16))&gt;0,"Answered",IF(FALSE,"Needs answer","Optional")))))</f>
        <v>Optional</v>
      </c>
    </row>
    <row r="17" ht="34" customHeight="1">
      <c r="A17" s="3" t="str">
        <v>forensic_involvement</v>
      </c>
      <c r="B17" s="13" t="str">
        <v>Forensic involvement</v>
      </c>
      <c r="C17" t="str" s="50"/>
      <c r="D17" t="str" s="48"/>
      <c r="E17" s="16" t="str">
        <f>IF(NOT(TRUE),IF(OR(LEN(TRIM(C17))&gt;0,LEN(TRIM(D17))&gt;0),"Review previous answer","Not applicable"),IF(AND(LEN(TRIM(D17))&gt;0,NOT(FALSE)),"Review previous reason",IF(AND(FALSE,NOT(LEN(TRIM(D17))&gt;0)),"Explain why",IF(LEN(TRIM(C17))&gt;0,"Answered",IF(FALSE,"Needs answer","Optional")))))</f>
        <v>Optional</v>
      </c>
    </row>
    <row r="18" ht="34" customHeight="1">
      <c r="A18" s="3" t="str">
        <v>forensic_involvement_details</v>
      </c>
      <c r="B18" s="13" t="str">
        <v>Forensic involvement details</v>
      </c>
      <c r="C18" t="str" s="50"/>
      <c r="D18" t="str" s="48"/>
      <c r="E18" s="16" t="str">
        <f>IF(NOT(TRUE),IF(OR(LEN(TRIM(C18))&gt;0,LEN(TRIM(D18))&gt;0),"Review previous answer","Not applicable"),IF(AND(LEN(TRIM(D18))&gt;0,NOT(FALSE)),"Review previous reason",IF(AND(FALSE,NOT(LEN(TRIM(D18))&gt;0)),"Explain why",IF(LEN(TRIM(C18))&gt;0,"Answered",IF(FALSE,"Needs answer","Optional")))))</f>
        <v>Optional</v>
      </c>
    </row>
    <row r="19" ht="72" customHeight="1">
      <c r="A19" s="3" t="str">
        <v>forensic_timeline</v>
      </c>
      <c r="B19" s="21" t="inlineStr">
        <is>
          <r>
            <rPr>
              <b/>
              <sz val="12"/>
              <color rgb="FF233B32"/>
            </rPr>
            <t>Forensic timeline</t>
          </r>
          <r>
            <rPr>
              <b val="0"/>
              <sz val="10"/>
              <color rgb="FF59675F"/>
            </rPr>
            <t xml:space="preserve">
Reference only.</t>
          </r>
        </is>
      </c>
      <c r="C19" s="23" t="str"/>
      <c r="D19" s="15" t="str"/>
      <c r="E19" s="16" t="str">
        <f>"Reference only"</f>
        <v>Reference only</v>
      </c>
    </row>
    <row r="20" ht="88" customHeight="1" hidden="1">
      <c r="A20" s="3" t="str">
        <v>forensic_timeline:1</v>
      </c>
      <c r="B20" s="3" t="str">
        <v>Forensic timeline (continued)</v>
      </c>
      <c r="C20" s="24" t="str"/>
      <c r="D20" s="3" t="str"/>
      <c r="E20" s="3"/>
    </row>
    <row r="21" ht="88" customHeight="1" hidden="1">
      <c r="A21" s="3" t="str">
        <v>forensic_timeline:2</v>
      </c>
      <c r="B21" s="3" t="str">
        <v>Forensic timeline (continued)</v>
      </c>
      <c r="C21" s="24" t="str"/>
      <c r="D21" s="3" t="str"/>
      <c r="E21" s="3"/>
    </row>
    <row r="22" ht="88" customHeight="1" hidden="1">
      <c r="A22" s="3" t="str">
        <v>forensic_timeline:3</v>
      </c>
      <c r="B22" s="3" t="str">
        <v>Forensic timeline (continued)</v>
      </c>
      <c r="C22" s="24" t="str"/>
      <c r="D22" s="3" t="str"/>
      <c r="E22" s="3"/>
    </row>
    <row r="23" ht="88" customHeight="1" hidden="1">
      <c r="A23" s="3" t="str">
        <v>forensic_timeline:4</v>
      </c>
      <c r="B23" s="3" t="str">
        <v>Forensic timeline (continued)</v>
      </c>
      <c r="C23" s="24" t="str"/>
      <c r="D23" s="3" t="str"/>
      <c r="E23" s="3"/>
    </row>
    <row r="24" ht="88" customHeight="1" hidden="1">
      <c r="A24" s="3" t="str">
        <v>forensic_timeline:5</v>
      </c>
      <c r="B24" s="3" t="str">
        <v>Forensic timeline (continued)</v>
      </c>
      <c r="C24" s="24" t="str"/>
      <c r="D24" s="3" t="str"/>
      <c r="E24" s="3"/>
    </row>
    <row r="25" ht="88" customHeight="1" hidden="1">
      <c r="A25" s="3" t="str">
        <v>forensic_timeline:6</v>
      </c>
      <c r="B25" s="3" t="str">
        <v>Forensic timeline (continued)</v>
      </c>
      <c r="C25" s="24" t="str"/>
      <c r="D25" s="3" t="str"/>
      <c r="E25" s="3"/>
    </row>
    <row r="26" ht="88" customHeight="1" hidden="1">
      <c r="A26" s="3" t="str">
        <v>forensic_timeline:7</v>
      </c>
      <c r="B26" s="3" t="str">
        <v>Forensic timeline (continued)</v>
      </c>
      <c r="C26" s="24" t="str"/>
      <c r="D26" s="3" t="str"/>
      <c r="E26" s="3"/>
    </row>
    <row r="27" ht="88" customHeight="1" hidden="1">
      <c r="A27" s="3" t="str">
        <v>forensic_timeline:8</v>
      </c>
      <c r="B27" s="3" t="str">
        <v>Forensic timeline (continued)</v>
      </c>
      <c r="C27" s="24" t="str"/>
      <c r="D27" s="3" t="str"/>
      <c r="E27" s="3"/>
    </row>
    <row r="28" ht="88" customHeight="1" hidden="1">
      <c r="A28" s="3" t="str">
        <v>forensic_timeline:9</v>
      </c>
      <c r="B28" s="3" t="str">
        <v>Forensic timeline (continued)</v>
      </c>
      <c r="C28" s="24" t="str"/>
      <c r="D28" s="3" t="str"/>
      <c r="E28" s="3"/>
    </row>
    <row r="29" ht="88" customHeight="1" hidden="1">
      <c r="A29" s="3" t="str">
        <v>forensic_timeline:10</v>
      </c>
      <c r="B29" s="3" t="str">
        <v>Forensic timeline (continued)</v>
      </c>
      <c r="C29" s="24" t="str"/>
      <c r="D29" s="3" t="str"/>
      <c r="E29" s="3"/>
    </row>
    <row r="30" ht="88" customHeight="1" hidden="1">
      <c r="A30" s="3" t="str">
        <v>forensic_timeline:11</v>
      </c>
      <c r="B30" s="3" t="str">
        <v>Forensic timeline (continued)</v>
      </c>
      <c r="C30" s="24" t="str"/>
      <c r="D30" s="3" t="str"/>
      <c r="E30" s="3"/>
    </row>
    <row r="31" ht="88" customHeight="1" hidden="1">
      <c r="A31" s="3" t="str">
        <v>forensic_timeline:12</v>
      </c>
      <c r="B31" s="3" t="str">
        <v>Forensic timeline (continued)</v>
      </c>
      <c r="C31" s="24" t="str"/>
      <c r="D31" s="3" t="str"/>
      <c r="E31" s="3"/>
    </row>
    <row r="32" ht="88" customHeight="1" hidden="1">
      <c r="A32" s="3" t="str">
        <v>forensic_timeline:13</v>
      </c>
      <c r="B32" s="3" t="str">
        <v>Forensic timeline (continued)</v>
      </c>
      <c r="C32" s="24" t="str"/>
      <c r="D32" s="3" t="str"/>
      <c r="E32" s="3"/>
    </row>
    <row r="33" ht="34" customHeight="1">
      <c r="A33" s="3" t="str">
        <v>arrest_history</v>
      </c>
      <c r="B33" s="13" t="str">
        <v>History of arrest</v>
      </c>
      <c r="C33" t="str" s="50"/>
      <c r="D33" t="str" s="48"/>
      <c r="E33" s="16" t="str">
        <f>IF(NOT(TRUE),IF(OR(LEN(TRIM(C33))&gt;0,LEN(TRIM(D33))&gt;0),"Review previous answer","Not applicable"),IF(AND(LEN(TRIM(D33))&gt;0,NOT(FALSE)),"Review previous reason",IF(AND(FALSE,NOT(LEN(TRIM(D33))&gt;0)),"Explain why",IF(LEN(TRIM(C33))&gt;0,"Answered",IF(FALSE,"Needs answer","Optional")))))</f>
        <v>Optional</v>
      </c>
    </row>
    <row r="34" ht="34" customHeight="1">
      <c r="A34" s="3" t="str">
        <v>most_recent_arrest_date</v>
      </c>
      <c r="B34" s="13" t="str">
        <v>Most recent arrest date</v>
      </c>
      <c r="C34" t="str" s="51"/>
      <c r="D34" t="str" s="48"/>
      <c r="E34" s="16" t="str">
        <f>IF(NOT(TRUE),IF(OR(LEN(TRIM(C34))&gt;0,LEN(TRIM(D34))&gt;0),"Review previous answer","Not applicable"),IF(AND(LEN(TRIM(D34))&gt;0,NOT(FALSE)),"Review previous reason",IF(AND(FALSE,NOT(LEN(TRIM(D34))&gt;0)),"Explain why",IF(LEN(TRIM(C34))&gt;0,"Answered",IF(FALSE,"Needs answer","Optional")))))</f>
        <v>Optional</v>
      </c>
    </row>
    <row r="35" ht="34" customHeight="1">
      <c r="A35" s="3" t="str">
        <v>most_recent_arrest_charge</v>
      </c>
      <c r="B35" s="13" t="str">
        <v>Most recent arrest charge</v>
      </c>
      <c r="C35" t="str" s="50"/>
      <c r="D35" t="str" s="48"/>
      <c r="E35" s="16" t="str">
        <f>IF(NOT(TRUE),IF(OR(LEN(TRIM(C35))&gt;0,LEN(TRIM(D35))&gt;0),"Review previous answer","Not applicable"),IF(AND(LEN(TRIM(D35))&gt;0,NOT(FALSE)),"Review previous reason",IF(AND(FALSE,NOT(LEN(TRIM(D35))&gt;0)),"Explain why",IF(LEN(TRIM(C35))&gt;0,"Answered",IF(FALSE,"Needs answer","Optional")))))</f>
        <v>Optional</v>
      </c>
    </row>
    <row r="36" ht="34" customHeight="1">
      <c r="A36" s="3" t="str">
        <v>most_recent_arrest_jail_time</v>
      </c>
      <c r="B36" s="13" t="str">
        <v>Time in jail</v>
      </c>
      <c r="C36" t="str" s="50"/>
      <c r="D36" t="str" s="48"/>
      <c r="E36" s="16" t="str">
        <f>IF(NOT(TRUE),IF(OR(LEN(TRIM(C36))&gt;0,LEN(TRIM(D36))&gt;0),"Review previous answer","Not applicable"),IF(AND(LEN(TRIM(D36))&gt;0,NOT(FALSE)),"Review previous reason",IF(AND(FALSE,NOT(LEN(TRIM(D36))&gt;0)),"Explain why",IF(LEN(TRIM(C36))&gt;0,"Answered",IF(FALSE,"Needs answer","Optional")))))</f>
        <v>Optional</v>
      </c>
    </row>
    <row r="37" ht="34" customHeight="1">
      <c r="A37" s="3" t="str">
        <v>arrest_in_last_two_years</v>
      </c>
      <c r="B37" s="13" t="str">
        <v>Arrest in the last two years</v>
      </c>
      <c r="C37" t="str" s="50"/>
      <c r="D37" t="str" s="48"/>
      <c r="E37" s="16" t="str">
        <f>IF(NOT(TRUE),IF(OR(LEN(TRIM(C37))&gt;0,LEN(TRIM(D37))&gt;0),"Review previous answer","Not applicable"),IF(AND(LEN(TRIM(D37))&gt;0,NOT(FALSE)),"Review previous reason",IF(AND(FALSE,NOT(LEN(TRIM(D37))&gt;0)),"Explain why",IF(LEN(TRIM(C37))&gt;0,"Answered",IF(FALSE,"Needs answer","Optional")))))</f>
        <v>Optional</v>
      </c>
    </row>
    <row r="38" ht="34" customHeight="1">
      <c r="A38" s="3" t="str">
        <v>arrest_last_two_years_details</v>
      </c>
      <c r="B38" s="13" t="str">
        <v>Recent arrest details</v>
      </c>
      <c r="C38" t="str" s="50"/>
      <c r="D38" t="str" s="48"/>
      <c r="E38" s="16" t="str">
        <f>IF(NOT(TRUE),IF(OR(LEN(TRIM(C38))&gt;0,LEN(TRIM(D38))&gt;0),"Review previous answer","Not applicable"),IF(AND(LEN(TRIM(D38))&gt;0,NOT(FALSE)),"Review previous reason",IF(AND(FALSE,NOT(LEN(TRIM(D38))&gt;0)),"Explain why",IF(LEN(TRIM(C38))&gt;0,"Answered",IF(FALSE,"Needs answer","Optional")))))</f>
        <v>Optional</v>
      </c>
    </row>
    <row r="39" ht="34" customHeight="1">
      <c r="A39" s="3" t="str">
        <v>total_arrests</v>
      </c>
      <c r="B39" s="13" t="str">
        <v>Total recorded arrests</v>
      </c>
      <c r="C39" t="str" s="58"/>
      <c r="D39" t="str" s="48"/>
      <c r="E39" s="16" t="str">
        <f>IF(NOT(TRUE),IF(OR(LEN(TRIM(C39))&gt;0,LEN(TRIM(D39))&gt;0),"Review previous answer","Not applicable"),IF(AND(LEN(TRIM(D39))&gt;0,NOT(FALSE)),"Review previous reason",IF(AND(FALSE,NOT(LEN(TRIM(D39))&gt;0)),"Explain why",IF(LEN(TRIM(C39))&gt;0,"Answered",IF(FALSE,"Needs answer","Optional")))))</f>
        <v>Optional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287" priority="1">
      <formula>$E6="Not applicable"</formula>
    </cfRule>
  </conditionalFormatting>
  <conditionalFormatting sqref="E6:E6">
    <cfRule type="expression" dxfId="288" priority="2">
      <formula>OR($E6="Needs answer",$E6="Explain why",LEFT($E6,6)="Review")</formula>
    </cfRule>
  </conditionalFormatting>
  <conditionalFormatting sqref="B7:E7">
    <cfRule type="expression" dxfId="289" priority="3">
      <formula>$E7="Not applicable"</formula>
    </cfRule>
  </conditionalFormatting>
  <conditionalFormatting sqref="E7:E7">
    <cfRule type="expression" dxfId="290" priority="4">
      <formula>OR($E7="Needs answer",$E7="Explain why",LEFT($E7,6)="Review")</formula>
    </cfRule>
  </conditionalFormatting>
  <conditionalFormatting sqref="B8:E8">
    <cfRule type="expression" dxfId="291" priority="5">
      <formula>$E8="Not applicable"</formula>
    </cfRule>
  </conditionalFormatting>
  <conditionalFormatting sqref="E8:E8">
    <cfRule type="expression" dxfId="292" priority="6">
      <formula>OR($E8="Needs answer",$E8="Explain why",LEFT($E8,6)="Review")</formula>
    </cfRule>
  </conditionalFormatting>
  <conditionalFormatting sqref="B9:E9">
    <cfRule type="expression" dxfId="293" priority="7">
      <formula>$E9="Not applicable"</formula>
    </cfRule>
  </conditionalFormatting>
  <conditionalFormatting sqref="E9:E9">
    <cfRule type="expression" dxfId="294" priority="8">
      <formula>OR($E9="Needs answer",$E9="Explain why",LEFT($E9,6)="Review")</formula>
    </cfRule>
  </conditionalFormatting>
  <conditionalFormatting sqref="B10:E10">
    <cfRule type="expression" dxfId="295" priority="9">
      <formula>$E10="Not applicable"</formula>
    </cfRule>
  </conditionalFormatting>
  <conditionalFormatting sqref="E10:E10">
    <cfRule type="expression" dxfId="296" priority="10">
      <formula>OR($E10="Needs answer",$E10="Explain why",LEFT($E10,6)="Review")</formula>
    </cfRule>
  </conditionalFormatting>
  <conditionalFormatting sqref="B11:E11">
    <cfRule type="expression" dxfId="297" priority="11">
      <formula>$E11="Not applicable"</formula>
    </cfRule>
  </conditionalFormatting>
  <conditionalFormatting sqref="E11:E11">
    <cfRule type="expression" dxfId="298" priority="12">
      <formula>OR($E11="Needs answer",$E11="Explain why",LEFT($E11,6)="Review")</formula>
    </cfRule>
  </conditionalFormatting>
  <conditionalFormatting sqref="D11:D11">
    <cfRule type="expression" dxfId="299" priority="13">
      <formula>OR($C11="Unable to assess",$C11="unable_to_assess")</formula>
    </cfRule>
  </conditionalFormatting>
  <conditionalFormatting sqref="B12:E12">
    <cfRule type="expression" dxfId="300" priority="14">
      <formula>$E12="Not applicable"</formula>
    </cfRule>
  </conditionalFormatting>
  <conditionalFormatting sqref="E12:E12">
    <cfRule type="expression" dxfId="301" priority="15">
      <formula>OR($E12="Needs answer",$E12="Explain why",LEFT($E12,6)="Review")</formula>
    </cfRule>
  </conditionalFormatting>
  <conditionalFormatting sqref="D12:D12">
    <cfRule type="expression" dxfId="302" priority="16">
      <formula>OR($C12="Unable to assess",$C12="unable_to_assess")</formula>
    </cfRule>
  </conditionalFormatting>
  <conditionalFormatting sqref="B13:E13">
    <cfRule type="expression" dxfId="303" priority="17">
      <formula>$E13="Not applicable"</formula>
    </cfRule>
  </conditionalFormatting>
  <conditionalFormatting sqref="E13:E13">
    <cfRule type="expression" dxfId="304" priority="18">
      <formula>OR($E13="Needs answer",$E13="Explain why",LEFT($E13,6)="Review")</formula>
    </cfRule>
  </conditionalFormatting>
  <conditionalFormatting sqref="D13:D13">
    <cfRule type="expression" dxfId="305" priority="19">
      <formula>OR($C13="Unable to assess",$C13="unable_to_assess")</formula>
    </cfRule>
  </conditionalFormatting>
  <conditionalFormatting sqref="B14:E14">
    <cfRule type="expression" dxfId="306" priority="20">
      <formula>$E14="Not applicable"</formula>
    </cfRule>
  </conditionalFormatting>
  <conditionalFormatting sqref="E14:E14">
    <cfRule type="expression" dxfId="307" priority="21">
      <formula>OR($E14="Needs answer",$E14="Explain why",LEFT($E14,6)="Review")</formula>
    </cfRule>
  </conditionalFormatting>
  <conditionalFormatting sqref="B15:E15">
    <cfRule type="expression" dxfId="308" priority="22">
      <formula>$E15="Not applicable"</formula>
    </cfRule>
  </conditionalFormatting>
  <conditionalFormatting sqref="E15:E15">
    <cfRule type="expression" dxfId="309" priority="23">
      <formula>OR($E15="Needs answer",$E15="Explain why",LEFT($E15,6)="Review")</formula>
    </cfRule>
  </conditionalFormatting>
  <conditionalFormatting sqref="B16:E16">
    <cfRule type="expression" dxfId="310" priority="24">
      <formula>$E16="Not applicable"</formula>
    </cfRule>
  </conditionalFormatting>
  <conditionalFormatting sqref="E16:E16">
    <cfRule type="expression" dxfId="311" priority="25">
      <formula>OR($E16="Needs answer",$E16="Explain why",LEFT($E16,6)="Review")</formula>
    </cfRule>
  </conditionalFormatting>
  <conditionalFormatting sqref="B17:E17">
    <cfRule type="expression" dxfId="312" priority="26">
      <formula>$E17="Not applicable"</formula>
    </cfRule>
  </conditionalFormatting>
  <conditionalFormatting sqref="E17:E17">
    <cfRule type="expression" dxfId="313" priority="27">
      <formula>OR($E17="Needs answer",$E17="Explain why",LEFT($E17,6)="Review")</formula>
    </cfRule>
  </conditionalFormatting>
  <conditionalFormatting sqref="B18:E18">
    <cfRule type="expression" dxfId="314" priority="28">
      <formula>$E18="Not applicable"</formula>
    </cfRule>
  </conditionalFormatting>
  <conditionalFormatting sqref="E18:E18">
    <cfRule type="expression" dxfId="315" priority="29">
      <formula>OR($E18="Needs answer",$E18="Explain why",LEFT($E18,6)="Review")</formula>
    </cfRule>
  </conditionalFormatting>
  <conditionalFormatting sqref="B19:E19">
    <cfRule type="expression" dxfId="316" priority="30">
      <formula>$E19="Not applicable"</formula>
    </cfRule>
  </conditionalFormatting>
  <conditionalFormatting sqref="E19:E19">
    <cfRule type="expression" dxfId="317" priority="31">
      <formula>OR($E19="Needs answer",$E19="Explain why",LEFT($E19,6)="Review")</formula>
    </cfRule>
  </conditionalFormatting>
  <conditionalFormatting sqref="B33:E33">
    <cfRule type="expression" dxfId="318" priority="32">
      <formula>$E33="Not applicable"</formula>
    </cfRule>
  </conditionalFormatting>
  <conditionalFormatting sqref="E33:E33">
    <cfRule type="expression" dxfId="319" priority="33">
      <formula>OR($E33="Needs answer",$E33="Explain why",LEFT($E33,6)="Review")</formula>
    </cfRule>
  </conditionalFormatting>
  <conditionalFormatting sqref="B34:E34">
    <cfRule type="expression" dxfId="320" priority="34">
      <formula>$E34="Not applicable"</formula>
    </cfRule>
  </conditionalFormatting>
  <conditionalFormatting sqref="E34:E34">
    <cfRule type="expression" dxfId="321" priority="35">
      <formula>OR($E34="Needs answer",$E34="Explain why",LEFT($E34,6)="Review")</formula>
    </cfRule>
  </conditionalFormatting>
  <conditionalFormatting sqref="B35:E35">
    <cfRule type="expression" dxfId="322" priority="36">
      <formula>$E35="Not applicable"</formula>
    </cfRule>
  </conditionalFormatting>
  <conditionalFormatting sqref="E35:E35">
    <cfRule type="expression" dxfId="323" priority="37">
      <formula>OR($E35="Needs answer",$E35="Explain why",LEFT($E35,6)="Review")</formula>
    </cfRule>
  </conditionalFormatting>
  <conditionalFormatting sqref="B36:E36">
    <cfRule type="expression" dxfId="324" priority="38">
      <formula>$E36="Not applicable"</formula>
    </cfRule>
  </conditionalFormatting>
  <conditionalFormatting sqref="E36:E36">
    <cfRule type="expression" dxfId="325" priority="39">
      <formula>OR($E36="Needs answer",$E36="Explain why",LEFT($E36,6)="Review")</formula>
    </cfRule>
  </conditionalFormatting>
  <conditionalFormatting sqref="B37:E37">
    <cfRule type="expression" dxfId="326" priority="40">
      <formula>$E37="Not applicable"</formula>
    </cfRule>
  </conditionalFormatting>
  <conditionalFormatting sqref="E37:E37">
    <cfRule type="expression" dxfId="327" priority="41">
      <formula>OR($E37="Needs answer",$E37="Explain why",LEFT($E37,6)="Review")</formula>
    </cfRule>
  </conditionalFormatting>
  <conditionalFormatting sqref="B38:E38">
    <cfRule type="expression" dxfId="328" priority="42">
      <formula>$E38="Not applicable"</formula>
    </cfRule>
  </conditionalFormatting>
  <conditionalFormatting sqref="E38:E38">
    <cfRule type="expression" dxfId="329" priority="43">
      <formula>OR($E38="Needs answer",$E38="Explain why",LEFT($E38,6)="Review")</formula>
    </cfRule>
  </conditionalFormatting>
  <conditionalFormatting sqref="B39:E39">
    <cfRule type="expression" dxfId="330" priority="44">
      <formula>$E39="Not applicable"</formula>
    </cfRule>
  </conditionalFormatting>
  <conditionalFormatting sqref="E39:E39">
    <cfRule type="expression" dxfId="331" priority="45">
      <formula>OR($E39="Needs answer",$E39="Explain why",LEFT($E39,6)="Review")</formula>
    </cfRule>
  </conditionalFormatting>
  <dataValidations count="4">
    <dataValidation type="list" sqref="C6">
      <formula1>"LPS,TCon,Murphy's,Non-Conserved"</formula1>
    </dataValidation>
    <dataValidation type="list" sqref="C11">
      <formula1>"Yes,No,Unable to assess"</formula1>
    </dataValidation>
    <dataValidation type="list" sqref="C12">
      <formula1>"Yes,No,Unable to assess"</formula1>
    </dataValidation>
    <dataValidation type="list" sqref="C13">
      <formula1>"Yes,No,Unable to assess"</formula1>
    </dataValidation>
  </dataValidations>
  <pageMargins left="0.3" right="0.3" top="0.4" bottom="0.4" header="0.2" footer="0.2"/>
  <pageSetup paperSize="1" orientation="landscape" fitToWidth="1" fitToHeight="0"/>
</worksheet>
</file>

<file path=xl/worksheets/sheet12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What matters next</v>
      </c>
      <c r="C1" s="4"/>
      <c r="D1" s="5" t="str">
        <v>Section 11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72" customHeight="1">
      <c r="A6" s="3" t="str">
        <v>family_involvement</v>
      </c>
      <c r="B6" s="13" t="str">
        <v>Family involvement</v>
      </c>
      <c r="C6" t="str" s="50"/>
      <c r="D6" t="str" s="48"/>
      <c r="E6" s="16" t="str">
        <f>IF(NOT(TRUE),IF(OR(LEN(TRIM(C6))&gt;0,LEN(TRIM(D6))&gt;0),"Review previous answer","Not applicable"),IF(AND(LEN(TRIM(D6))&gt;0,NOT(FALSE)),"Review previous reason",IF(AND(FALSE,NOT(LEN(TRIM(D6))&gt;0)),"Explain why",IF(LEN(TRIM(C6))&gt;0,"Answered",IF(FALSE,"Needs answer","Optional")))))</f>
        <v>Optional</v>
      </c>
    </row>
    <row r="7" ht="72" customHeight="1">
      <c r="A7" s="3" t="str">
        <v>friendships_social_connections</v>
      </c>
      <c r="B7" s="13" t="str">
        <v>Friendships and social connections</v>
      </c>
      <c r="C7" t="str" s="50"/>
      <c r="D7" t="str" s="48"/>
      <c r="E7" s="16" t="str">
        <f>IF(NOT(TRUE),IF(OR(LEN(TRIM(C7))&gt;0,LEN(TRIM(D7))&gt;0),"Review previous answer","Not applicable"),IF(AND(LEN(TRIM(D7))&gt;0,NOT(FALSE)),"Review previous reason",IF(AND(FALSE,NOT(LEN(TRIM(D7))&gt;0)),"Explain why",IF(LEN(TRIM(C7))&gt;0,"Answered",IF(FALSE,"Needs answer","Optional")))))</f>
        <v>Optional</v>
      </c>
    </row>
    <row r="8" ht="72" customHeight="1">
      <c r="A8" s="3" t="str">
        <v>prior_living_situation</v>
      </c>
      <c r="B8" s="21" t="inlineStr">
        <is>
          <r>
            <rPr>
              <b/>
              <sz val="12"/>
              <color rgb="FF233B32"/>
            </rPr>
            <t>Earlier living-situation answer</t>
          </r>
          <r>
            <rPr>
              <b val="0"/>
              <sz val="10"/>
              <color rgb="FF59675F"/>
            </rPr>
            <t xml:space="preserve">
Reference only.</t>
          </r>
        </is>
      </c>
      <c r="C8" s="23" t="str"/>
      <c r="D8" s="15" t="str"/>
      <c r="E8" s="16" t="str">
        <f>"Reference only"</f>
        <v>Reference only</v>
      </c>
    </row>
    <row r="9" ht="72" customHeight="1">
      <c r="A9" s="3" t="str">
        <v>housing_history</v>
      </c>
      <c r="B9" s="13" t="str">
        <v>Home and housing history</v>
      </c>
      <c r="C9" t="str" s="50"/>
      <c r="D9" t="str" s="48"/>
      <c r="E9" s="16" t="str">
        <f>IF(NOT(TRUE),IF(OR(LEN(TRIM(C9))&gt;0,LEN(TRIM(D9))&gt;0),"Review previous answer","Not applicable"),IF(AND(LEN(TRIM(D9))&gt;0,NOT(FALSE)),"Review previous reason",IF(AND(FALSE,NOT(LEN(TRIM(D9))&gt;0)),"Explain why",IF(LEN(TRIM(C9))&gt;0,"Answered",IF(FALSE,"Needs answer","Optional")))))</f>
        <v>Optional</v>
      </c>
    </row>
    <row r="10" ht="72" customHeight="1">
      <c r="A10" s="3" t="str">
        <v>benefits_income_status</v>
      </c>
      <c r="B10" s="13" t="str">
        <v>Benefits / income status</v>
      </c>
      <c r="C10" t="str" s="50"/>
      <c r="D10" t="str" s="48"/>
      <c r="E10" s="16" t="str">
        <f>IF(NOT(TRUE),IF(OR(LEN(TRIM(C10))&gt;0,LEN(TRIM(D10))&gt;0),"Review previous answer","Not applicable"),IF(AND(LEN(TRIM(D10))&gt;0,NOT(FALSE)),"Review previous reason",IF(AND(FALSE,NOT(LEN(TRIM(D10))&gt;0)),"Explain why",IF(LEN(TRIM(C10))&gt;0,"Answered",IF(FALSE,"Needs answer","Optional")))))</f>
        <v>Optional</v>
      </c>
    </row>
    <row r="11" ht="72" customHeight="1">
      <c r="A11" s="3" t="str">
        <v>discharge_planning_goals</v>
      </c>
      <c r="B11" s="13" t="str">
        <v>Discharge planning goals</v>
      </c>
      <c r="C11" t="str" s="50"/>
      <c r="D11" t="str" s="48"/>
      <c r="E11" s="16" t="str">
        <f>IF(NOT(TRUE),IF(OR(LEN(TRIM(C11))&gt;0,LEN(TRIM(D11))&gt;0),"Review previous answer","Not applicable"),IF(AND(LEN(TRIM(D11))&gt;0,NOT(FALSE)),"Review previous reason",IF(AND(FALSE,NOT(LEN(TRIM(D11))&gt;0)),"Explain why",IF(LEN(TRIM(C11))&gt;0,"Answered",IF(FALSE,"Needs answer","Optional")))))</f>
        <v>Optional</v>
      </c>
    </row>
    <row r="12" ht="72" customHeight="1">
      <c r="A12" s="3" t="str">
        <v>placement_preferences_concerns</v>
      </c>
      <c r="B12" s="13" t="str">
        <v>Placement preferences and concerns</v>
      </c>
      <c r="C12" t="str" s="50"/>
      <c r="D12" t="str" s="48"/>
      <c r="E12" s="16" t="str">
        <f>IF(NOT(TRUE),IF(OR(LEN(TRIM(C12))&gt;0,LEN(TRIM(D12))&gt;0),"Review previous answer","Not applicable"),IF(AND(LEN(TRIM(D12))&gt;0,NOT(FALSE)),"Review previous reason",IF(AND(FALSE,NOT(LEN(TRIM(D12))&gt;0)),"Explain why",IF(LEN(TRIM(C12))&gt;0,"Answered",IF(FALSE,"Needs answer","Optional")))))</f>
        <v>Optional</v>
      </c>
    </row>
    <row r="13" ht="54" customHeight="1">
      <c r="A13" s="3" t="str">
        <v>preferred_facility_characteristics</v>
      </c>
      <c r="B13" s="21" t="inlineStr">
        <is>
          <r>
            <rPr>
              <b/>
              <sz val="12"/>
              <color rgb="FF233B32"/>
            </rPr>
            <t>Preferred facility characteristics</t>
          </r>
          <r>
            <rPr>
              <b val="0"/>
              <sz val="10"/>
              <color rgb="FF59675F"/>
            </rPr>
            <t xml:space="preserve">
Reference only.</t>
          </r>
        </is>
      </c>
      <c r="C13" s="23" t="str"/>
      <c r="D13" s="15" t="str"/>
      <c r="E13" s="16" t="str">
        <f>"Reference only"</f>
        <v>Reference only</v>
      </c>
    </row>
  </sheetData>
  <sheetProtection sheet="1" objects="1" scenarios="1" selectLockedCells="0" selectUnlockedCells="0" formatRows="0"/>
  <mergeCells>
    <mergeCell ref="B1:C1"/>
    <mergeCell ref="D1:E1"/>
    <mergeCell ref="C2:E2"/>
    <mergeCell ref="B3:E3"/>
  </mergeCells>
  <conditionalFormatting sqref="B6:E6">
    <cfRule type="expression" dxfId="332" priority="1">
      <formula>$E6="Not applicable"</formula>
    </cfRule>
  </conditionalFormatting>
  <conditionalFormatting sqref="E6:E6">
    <cfRule type="expression" dxfId="333" priority="2">
      <formula>OR($E6="Needs answer",$E6="Explain why",LEFT($E6,6)="Review")</formula>
    </cfRule>
  </conditionalFormatting>
  <conditionalFormatting sqref="B7:E7">
    <cfRule type="expression" dxfId="334" priority="3">
      <formula>$E7="Not applicable"</formula>
    </cfRule>
  </conditionalFormatting>
  <conditionalFormatting sqref="E7:E7">
    <cfRule type="expression" dxfId="335" priority="4">
      <formula>OR($E7="Needs answer",$E7="Explain why",LEFT($E7,6)="Review")</formula>
    </cfRule>
  </conditionalFormatting>
  <conditionalFormatting sqref="B8:E8">
    <cfRule type="expression" dxfId="336" priority="5">
      <formula>$E8="Not applicable"</formula>
    </cfRule>
  </conditionalFormatting>
  <conditionalFormatting sqref="E8:E8">
    <cfRule type="expression" dxfId="337" priority="6">
      <formula>OR($E8="Needs answer",$E8="Explain why",LEFT($E8,6)="Review")</formula>
    </cfRule>
  </conditionalFormatting>
  <conditionalFormatting sqref="B9:E9">
    <cfRule type="expression" dxfId="338" priority="7">
      <formula>$E9="Not applicable"</formula>
    </cfRule>
  </conditionalFormatting>
  <conditionalFormatting sqref="E9:E9">
    <cfRule type="expression" dxfId="339" priority="8">
      <formula>OR($E9="Needs answer",$E9="Explain why",LEFT($E9,6)="Review")</formula>
    </cfRule>
  </conditionalFormatting>
  <conditionalFormatting sqref="B10:E10">
    <cfRule type="expression" dxfId="340" priority="9">
      <formula>$E10="Not applicable"</formula>
    </cfRule>
  </conditionalFormatting>
  <conditionalFormatting sqref="E10:E10">
    <cfRule type="expression" dxfId="341" priority="10">
      <formula>OR($E10="Needs answer",$E10="Explain why",LEFT($E10,6)="Review")</formula>
    </cfRule>
  </conditionalFormatting>
  <conditionalFormatting sqref="B11:E11">
    <cfRule type="expression" dxfId="342" priority="11">
      <formula>$E11="Not applicable"</formula>
    </cfRule>
  </conditionalFormatting>
  <conditionalFormatting sqref="E11:E11">
    <cfRule type="expression" dxfId="343" priority="12">
      <formula>OR($E11="Needs answer",$E11="Explain why",LEFT($E11,6)="Review")</formula>
    </cfRule>
  </conditionalFormatting>
  <conditionalFormatting sqref="B12:E12">
    <cfRule type="expression" dxfId="344" priority="13">
      <formula>$E12="Not applicable"</formula>
    </cfRule>
  </conditionalFormatting>
  <conditionalFormatting sqref="E12:E12">
    <cfRule type="expression" dxfId="345" priority="14">
      <formula>OR($E12="Needs answer",$E12="Explain why",LEFT($E12,6)="Review")</formula>
    </cfRule>
  </conditionalFormatting>
  <conditionalFormatting sqref="B13:E13">
    <cfRule type="expression" dxfId="346" priority="15">
      <formula>$E13="Not applicable"</formula>
    </cfRule>
  </conditionalFormatting>
  <conditionalFormatting sqref="E13:E13">
    <cfRule type="expression" dxfId="347" priority="16">
      <formula>OR($E13="Needs answer",$E13="Explain why",LEFT($E13,6)="Review")</formula>
    </cfRule>
  </conditionalFormatting>
  <pageMargins left="0.3" right="0.3" top="0.4" bottom="0.4" header="0.2" footer="0.2"/>
  <pageSetup paperSize="1" orientation="landscape" fitToWidth="1" fitToHeight="0"/>
</worksheet>
</file>

<file path=xl/worksheets/sheet13.xml><?xml version="1.0" encoding="utf-8"?>
<worksheet xmlns="http://schemas.openxmlformats.org/spreadsheetml/2006/main">
  <sheetPr>
    <tabColor rgb="FF12644F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" customWidth="1" hidden="1"/>
    <col min="2" max="2" width="34" hidden="0" customWidth="1"/>
    <col min="3" max="3" width="49" hidden="0" customWidth="1"/>
    <col min="4" max="4" width="20" hidden="0" customWidth="1"/>
    <col min="5" max="5" width="19" hidden="0" customWidth="1"/>
  </cols>
  <sheetData>
    <row r="1" ht="30" customHeight="1">
      <c r="A1" s="3"/>
      <c r="B1" s="4" t="str">
        <v>Anything else</v>
      </c>
      <c r="C1" s="4"/>
      <c r="D1" s="5" t="str">
        <v>Section 12 of 12</v>
      </c>
      <c r="E1" s="5"/>
    </row>
    <row r="2" ht="24" customHeight="1">
      <c r="A2" s="3"/>
      <c r="B2" s="3" t="str">
        <v>Client name</v>
      </c>
      <c r="C2" s="3" t="str">
        <v>Copy saved time</v>
      </c>
      <c r="D2" s="3"/>
      <c r="E2" s="3"/>
    </row>
    <row r="3" ht="24" customHeight="1">
      <c r="A3" s="3"/>
      <c r="B3" s="6" t="str">
        <v>Answer the applicable questions. Amber = needs attention; gray = not applicable. Keep rows in place.</v>
      </c>
      <c r="C3" s="6"/>
      <c r="D3" s="6"/>
      <c r="E3" s="6"/>
    </row>
    <row r="4" ht="7" customHeight="1">
      <c r="A4" s="3"/>
      <c r="B4" s="3"/>
      <c r="C4" s="3"/>
      <c r="D4" s="3"/>
      <c r="E4" s="3"/>
    </row>
    <row r="5" ht="25" customHeight="1">
      <c r="A5" s="3"/>
      <c r="B5" s="8" t="str">
        <v>Question</v>
      </c>
      <c r="C5" s="8" t="str">
        <v>Answer</v>
      </c>
      <c r="D5" s="8" t="str">
        <v>Why unable?</v>
      </c>
      <c r="E5" s="8" t="str">
        <v>Check</v>
      </c>
    </row>
    <row r="6" ht="72" customHeight="1">
      <c r="A6" s="3" t="str">
        <v>additional_information</v>
      </c>
      <c r="B6" s="13" t="str">
        <v>Additional information</v>
      </c>
      <c r="C6" t="str" s="50"/>
      <c r="D6" t="str" s="48"/>
      <c r="E6" s="16" t="str">
        <f>IF(NOT(TRUE),IF(OR(LEN(TRIM(C6))&gt;0,LEN(TRIM(D6))&gt;0),"Review previous answer","Not applicable"),IF(AND(LEN(TRIM(D6))&gt;0,NOT(FALSE)),"Review previous reason",IF(AND(FALSE,NOT(LEN(TRIM(D6))&gt;0)),"Explain why",IF(LEN(TRIM(C6))&gt;0,"Answered",IF(FALSE,"Needs answer","Optional")))))</f>
        <v>Optional</v>
      </c>
    </row>
    <row r="7" ht="72" customHeight="1">
      <c r="A7" s="3" t="str">
        <v>placement_process_questions</v>
      </c>
      <c r="B7" s="13" t="str">
        <v>Placement questions or concerns</v>
      </c>
      <c r="C7" t="str" s="50"/>
      <c r="D7" t="str" s="48"/>
      <c r="E7" s="16" t="str">
        <f>IF(NOT(TRUE),IF(OR(LEN(TRIM(C7))&gt;0,LEN(TRIM(D7))&gt;0),"Review previous answer","Not applicable"),IF(AND(LEN(TRIM(D7))&gt;0,NOT(FALSE)),"Review previous reason",IF(AND(FALSE,NOT(LEN(TRIM(D7))&gt;0)),"Explain why",IF(LEN(TRIM(C7))&gt;0,"Answered",IF(FALSE,"Needs answer","Optional")))))</f>
        <v>Optional</v>
      </c>
    </row>
    <row r="8" ht="39" customHeight="1" hidden="1">
      <c r="A8" s="3" t="str">
        <v>unable_to_assess_reasons</v>
      </c>
      <c r="B8" s="21" t="inlineStr">
        <is>
          <r>
            <rPr>
              <b/>
              <sz val="12"/>
              <color rgb="FF233B32"/>
            </rPr>
            <t>Unable-to-assess explanations</t>
          </r>
          <r>
            <rPr>
              <b val="0"/>
              <sz val="10"/>
              <color rgb="FF59675F"/>
            </rPr>
            <t xml:space="preserve">
Reference only.</t>
          </r>
        </is>
      </c>
      <c r="C8" s="23" t="str"/>
      <c r="D8" s="15" t="str"/>
      <c r="E8" s="16" t="str">
        <f>"Reference only"</f>
        <v>Reference only</v>
      </c>
    </row>
    <row r="9" ht="39" customHeight="1" hidden="1">
      <c r="A9" s="3" t="str">
        <v>source_file</v>
      </c>
      <c r="B9" s="21" t="inlineStr">
        <is>
          <r>
            <rPr>
              <b/>
              <sz val="12"/>
              <color rgb="FF233B32"/>
            </rPr>
            <t>Source file</t>
          </r>
          <r>
            <rPr>
              <b val="0"/>
              <sz val="10"/>
              <color rgb="FF59675F"/>
            </rPr>
            <t xml:space="preserve">
Reference only.</t>
          </r>
        </is>
      </c>
      <c r="C9" s="23" t="str"/>
      <c r="D9" s="15" t="str"/>
      <c r="E9" s="16" t="str">
        <f>"Reference only"</f>
        <v>Reference only</v>
      </c>
    </row>
    <row r="10" ht="39" customHeight="1" hidden="1">
      <c r="A10" s="3" t="str">
        <v>match_confidence</v>
      </c>
      <c r="B10" s="21" t="inlineStr">
        <is>
          <r>
            <rPr>
              <b/>
              <sz val="12"/>
              <color rgb="FF233B32"/>
            </rPr>
            <t>Match confidence</t>
          </r>
          <r>
            <rPr>
              <b val="0"/>
              <sz val="10"/>
              <color rgb="FF59675F"/>
            </rPr>
            <t xml:space="preserve">
Reference only.</t>
          </r>
        </is>
      </c>
      <c r="C10" s="26" t="str"/>
      <c r="D10" s="15" t="str"/>
      <c r="E10" s="16" t="str">
        <f>"Reference only"</f>
        <v>Reference only</v>
      </c>
    </row>
    <row r="11" ht="34" customHeight="1">
      <c r="A11" s="3" t="str">
        <v>assessment_notes</v>
      </c>
      <c r="B11" s="13" t="str">
        <v>Assessment notes</v>
      </c>
      <c r="C11" t="str" s="50"/>
      <c r="D11" t="str" s="48"/>
      <c r="E11" s="16" t="str">
        <f>IF(NOT(TRUE),IF(OR(LEN(TRIM(C11&amp;""&amp;C12))&gt;0,LEN(TRIM(D11))&gt;0),"Review previous answer","Not applicable"),IF(AND(LEN(TRIM(D11))&gt;0,NOT(FALSE)),"Review previous reason",IF(AND(FALSE,NOT(LEN(TRIM(D11))&gt;0)),"Explain why",IF(LEN(TRIM(C11&amp;""&amp;C12))&gt;0,"Answered",IF(FALSE,"Needs answer","Optional")))))</f>
        <v>Optional</v>
      </c>
    </row>
    <row r="12" ht="88" customHeight="1" hidden="1">
      <c r="A12" s="3" t="str">
        <v>assessment_notes:1</v>
      </c>
      <c r="B12" s="3" t="str">
        <v>Assessment notes (continued)</v>
      </c>
      <c r="C12" t="str" s="57"/>
      <c r="D12" s="3" t="str"/>
      <c r="E12" s="3"/>
    </row>
    <row r="13" ht="39" customHeight="1" hidden="1">
      <c r="A13" s="3" t="str">
        <v>extraction_date</v>
      </c>
      <c r="B13" s="21" t="inlineStr">
        <is>
          <r>
            <rPr>
              <b/>
              <sz val="12"/>
              <color rgb="FF233B32"/>
            </rPr>
            <t>Extraction date</t>
          </r>
          <r>
            <rPr>
              <b val="0"/>
              <sz val="10"/>
              <color rgb="FF59675F"/>
            </rPr>
            <t xml:space="preserve">
Reference only.</t>
          </r>
        </is>
      </c>
      <c r="C13" s="23" t="str"/>
      <c r="D13" s="15" t="str"/>
      <c r="E13" s="16" t="str">
        <f>"Reference only"</f>
        <v>Reference only</v>
      </c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 ht="30" customHeight="1">
      <c r="A16" s="3"/>
      <c r="B16" s="32" t="str">
        <v>Before you upload</v>
      </c>
      <c r="C16" s="32"/>
      <c r="D16" s="32"/>
      <c r="E16" s="32"/>
    </row>
    <row r="17" ht="32" customHeight="1">
      <c r="A17" s="3"/>
      <c r="B17" s="8" t="str">
        <v>Open section</v>
      </c>
      <c r="C17" s="8" t="str">
        <v>Missing answers / explanations</v>
      </c>
      <c r="D17" s="8" t="str">
        <v>Previous details to review</v>
      </c>
      <c r="E17" s="8" t="str"/>
    </row>
    <row r="18" ht="32" customHeight="1">
      <c r="A18" s="3"/>
      <c r="B18" s="28" t="str">
        <v>1. Confirm the basics</v>
      </c>
      <c r="C18" s="31" t="n">
        <f>COUNTIF('01 Confirm the basics'!E6:E16,"Needs answer")+COUNTIF('01 Confirm the basics'!E6:E16,"Explain why")</f>
        <v>8</v>
      </c>
      <c r="D18" s="31" t="n">
        <f>COUNTIF('01 Confirm the basics'!E6:E16,"Review previous answer")+COUNTIF('01 Confirm the basics'!E6:E16,"Review previous reason")</f>
        <v>0</v>
      </c>
      <c r="E18" s="30"/>
    </row>
    <row r="19" ht="32" customHeight="1">
      <c r="A19" s="3"/>
      <c r="B19" s="28" t="str">
        <v>2. How things are now</v>
      </c>
      <c r="C19" s="31" t="n">
        <f>COUNTIF('02 How things are now'!E6:E38,"Needs answer")+COUNTIF('02 How things are now'!E6:E38,"Explain why")</f>
        <v>2</v>
      </c>
      <c r="D19" s="31" t="n">
        <f>COUNTIF('02 How things are now'!E6:E38,"Review previous answer")+COUNTIF('02 How things are now'!E6:E38,"Review previous reason")</f>
        <v>0</v>
      </c>
      <c r="E19" s="30"/>
    </row>
    <row r="20" ht="32" customHeight="1">
      <c r="A20" s="3"/>
      <c r="B20" s="28" t="str">
        <v>3. A usual day</v>
      </c>
      <c r="C20" s="31" t="n">
        <f>COUNTIF('03 A usual day'!E6:E25,"Needs answer")+COUNTIF('03 A usual day'!E6:E25,"Explain why")</f>
        <v>9</v>
      </c>
      <c r="D20" s="31" t="n">
        <f>COUNTIF('03 A usual day'!E6:E25,"Review previous answer")+COUNTIF('03 A usual day'!E6:E25,"Review previous reason")</f>
        <v>0</v>
      </c>
      <c r="E20" s="30"/>
    </row>
    <row r="21" ht="32" customHeight="1">
      <c r="A21" s="3"/>
      <c r="B21" s="28" t="str">
        <v>4. Health and comfort</v>
      </c>
      <c r="C21" s="31" t="n">
        <f>COUNTIF('04 Health and comfort'!E6:E26,"Needs answer")+COUNTIF('04 Health and comfort'!E6:E26,"Explain why")</f>
        <v>14</v>
      </c>
      <c r="D21" s="31" t="n">
        <f>COUNTIF('04 Health and comfort'!E6:E26,"Review previous answer")+COUNTIF('04 Health and comfort'!E6:E26,"Review previous reason")</f>
        <v>0</v>
      </c>
      <c r="E21" s="30"/>
    </row>
    <row r="22" ht="32" customHeight="1">
      <c r="A22" s="3"/>
      <c r="B22" s="28" t="str">
        <v>5. Medication</v>
      </c>
      <c r="C22" s="31" t="n">
        <f>COUNTIF('05 Medication'!E6:E30,"Needs answer")+COUNTIF('05 Medication'!E6:E30,"Explain why")</f>
        <v>2</v>
      </c>
      <c r="D22" s="31" t="n">
        <f>COUNTIF('05 Medication'!E6:E30,"Review previous answer")+COUNTIF('05 Medication'!E6:E30,"Review previous reason")</f>
        <v>0</v>
      </c>
      <c r="E22" s="30"/>
    </row>
    <row r="23" ht="32" customHeight="1">
      <c r="A23" s="3"/>
      <c r="B23" s="28" t="str">
        <v>6. Living situation</v>
      </c>
      <c r="C23" s="31" t="n">
        <f>COUNTIF('06 Living situation'!E6:E9,"Needs answer")+COUNTIF('06 Living situation'!E6:E9,"Explain why")</f>
        <v>0</v>
      </c>
      <c r="D23" s="31" t="n">
        <f>COUNTIF('06 Living situation'!E6:E9,"Review previous answer")+COUNTIF('06 Living situation'!E6:E9,"Review previous reason")</f>
        <v>0</v>
      </c>
      <c r="E23" s="30"/>
    </row>
    <row r="24" ht="32" customHeight="1">
      <c r="A24" s="3"/>
      <c r="B24" s="28" t="str">
        <v>7. Recent care and history</v>
      </c>
      <c r="C24" s="31" t="n">
        <f>COUNTIF('07 Recent care and history'!E6:E26,"Needs answer")+COUNTIF('07 Recent care and history'!E6:E26,"Explain why")</f>
        <v>0</v>
      </c>
      <c r="D24" s="31" t="n">
        <f>COUNTIF('07 Recent care and history'!E6:E26,"Review previous answer")+COUNTIF('07 Recent care and history'!E6:E26,"Review previous reason")</f>
        <v>0</v>
      </c>
      <c r="E24" s="30"/>
    </row>
    <row r="25" ht="32" customHeight="1">
      <c r="A25" s="3"/>
      <c r="B25" s="28" t="str">
        <v>8. Substance use and recovery</v>
      </c>
      <c r="C25" s="31" t="n">
        <f>COUNTIF('08 Substance use and recovery'!E6:E29,"Needs answer")+COUNTIF('08 Substance use and recovery'!E6:E29,"Explain why")</f>
        <v>2</v>
      </c>
      <c r="D25" s="31" t="n">
        <f>COUNTIF('08 Substance use and recovery'!E6:E29,"Review previous answer")+COUNTIF('08 Substance use and recovery'!E6:E29,"Review previous reason")</f>
        <v>0</v>
      </c>
      <c r="E25" s="30"/>
    </row>
    <row r="26" ht="32" customHeight="1">
      <c r="A26" s="3"/>
      <c r="B26" s="28" t="str">
        <v>9. Safety and support</v>
      </c>
      <c r="C26" s="31" t="n">
        <f>COUNTIF('09 Safety and support'!E6:E41,"Needs answer")+COUNTIF('09 Safety and support'!E6:E41,"Explain why")</f>
        <v>5</v>
      </c>
      <c r="D26" s="31" t="n">
        <f>COUNTIF('09 Safety and support'!E6:E41,"Review previous answer")+COUNTIF('09 Safety and support'!E6:E41,"Review previous reason")</f>
        <v>0</v>
      </c>
      <c r="E26" s="30"/>
    </row>
    <row r="27" ht="32" customHeight="1">
      <c r="A27" s="3"/>
      <c r="B27" s="28" t="str">
        <v>10. Decisions and legal support</v>
      </c>
      <c r="C27" s="31" t="n">
        <f>COUNTIF('10 Decisions and legal support'!E6:E39,"Needs answer")+COUNTIF('10 Decisions and legal support'!E6:E39,"Explain why")</f>
        <v>4</v>
      </c>
      <c r="D27" s="31" t="n">
        <f>COUNTIF('10 Decisions and legal support'!E6:E39,"Review previous answer")+COUNTIF('10 Decisions and legal support'!E6:E39,"Review previous reason")</f>
        <v>0</v>
      </c>
      <c r="E27" s="30"/>
    </row>
    <row r="28" ht="32" customHeight="1">
      <c r="A28" s="3"/>
      <c r="B28" s="28" t="str">
        <v>11. What matters next</v>
      </c>
      <c r="C28" s="31" t="n">
        <f>COUNTIF('11 What matters next'!E6:E13,"Needs answer")+COUNTIF('11 What matters next'!E6:E13,"Explain why")</f>
        <v>0</v>
      </c>
      <c r="D28" s="31" t="n">
        <f>COUNTIF('11 What matters next'!E6:E13,"Review previous answer")+COUNTIF('11 What matters next'!E6:E13,"Review previous reason")</f>
        <v>0</v>
      </c>
      <c r="E28" s="30"/>
    </row>
    <row r="29" ht="32" customHeight="1">
      <c r="A29" s="3"/>
      <c r="B29" s="28" t="str">
        <v>12. Anything else</v>
      </c>
      <c r="C29" s="31" t="n">
        <f>COUNTIF('12 Anything else'!E6:E13,"Needs answer")+COUNTIF('12 Anything else'!E6:E13,"Explain why")</f>
        <v>0</v>
      </c>
      <c r="D29" s="31" t="n">
        <f>COUNTIF('12 Anything else'!E6:E13,"Review previous answer")+COUNTIF('12 Anything else'!E6:E13,"Review previous reason")</f>
        <v>0</v>
      </c>
      <c r="E29" s="30"/>
    </row>
    <row r="30">
      <c r="A30" s="3"/>
      <c r="B30" s="3"/>
      <c r="C30" s="3"/>
      <c r="D30" s="3"/>
      <c r="E30" s="3"/>
    </row>
    <row r="31">
      <c r="A31" s="3"/>
      <c r="B31" s="3"/>
      <c r="C31" s="3"/>
      <c r="D31" s="3"/>
      <c r="E31" s="3"/>
    </row>
    <row r="32" ht="30" customHeight="1">
      <c r="A32" s="3"/>
      <c r="B32" s="3" t="str">
        <v>1. Open sections with missing answers. Explain anything you could not assess.</v>
      </c>
      <c r="C32" s="3"/>
      <c r="D32" s="3"/>
      <c r="E32" s="3"/>
    </row>
    <row r="33" ht="30" customHeight="1">
      <c r="A33" s="3"/>
      <c r="B33" s="3" t="str">
        <v>2. Review retained details. Keep useful history, or clear it deliberately; nothing is deleted automatically.</v>
      </c>
      <c r="C33" s="3"/>
      <c r="D33" s="3"/>
      <c r="E33" s="3"/>
    </row>
    <row r="34" ht="30" customHeight="1">
      <c r="A34" s="3"/>
      <c r="B34" s="3" t="str">
        <v>3. Save this workbook to approved storage, then drop it into the same assessment in Pipeline.</v>
      </c>
      <c r="C34" s="3"/>
      <c r="D34" s="3"/>
      <c r="E34" s="3"/>
    </row>
    <row r="35" ht="30" customHeight="1">
      <c r="A35" s="3"/>
      <c r="B35" s="3" t="str">
        <v>4. Review the populated preview and commit only the changes you intend. Confirm the save status in Pipeline.</v>
      </c>
      <c r="C35" s="3"/>
      <c r="D35" s="3"/>
      <c r="E35" s="3"/>
    </row>
    <row r="36" ht="30" customHeight="1">
      <c r="A36" s="3"/>
      <c r="B36" s="3" t="str">
        <v>These checks cover answers, not signatures or clinical approval. Review sources and sign only in Pipeline.</v>
      </c>
      <c r="C36" s="3"/>
      <c r="D36" s="3"/>
      <c r="E36" s="3"/>
    </row>
  </sheetData>
  <sheetProtection sheet="1" objects="1" scenarios="1" selectLockedCells="0" selectUnlockedCells="0" formatRows="0"/>
  <mergeCells>
    <mergeCell ref="B1:C1"/>
    <mergeCell ref="D1:E1"/>
    <mergeCell ref="C2:E2"/>
    <mergeCell ref="B3:E3"/>
    <mergeCell ref="B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B32:E32"/>
    <mergeCell ref="B33:E33"/>
    <mergeCell ref="B34:E34"/>
    <mergeCell ref="B35:E35"/>
    <mergeCell ref="B36:E36"/>
  </mergeCells>
  <conditionalFormatting sqref="B6:E6">
    <cfRule type="expression" dxfId="348" priority="1">
      <formula>$E6="Not applicable"</formula>
    </cfRule>
  </conditionalFormatting>
  <conditionalFormatting sqref="E6:E6">
    <cfRule type="expression" dxfId="349" priority="2">
      <formula>OR($E6="Needs answer",$E6="Explain why",LEFT($E6,6)="Review")</formula>
    </cfRule>
  </conditionalFormatting>
  <conditionalFormatting sqref="B7:E7">
    <cfRule type="expression" dxfId="350" priority="3">
      <formula>$E7="Not applicable"</formula>
    </cfRule>
  </conditionalFormatting>
  <conditionalFormatting sqref="E7:E7">
    <cfRule type="expression" dxfId="351" priority="4">
      <formula>OR($E7="Needs answer",$E7="Explain why",LEFT($E7,6)="Review")</formula>
    </cfRule>
  </conditionalFormatting>
  <conditionalFormatting sqref="B8:E8">
    <cfRule type="expression" dxfId="352" priority="5">
      <formula>$E8="Not applicable"</formula>
    </cfRule>
  </conditionalFormatting>
  <conditionalFormatting sqref="E8:E8">
    <cfRule type="expression" dxfId="353" priority="6">
      <formula>OR($E8="Needs answer",$E8="Explain why",LEFT($E8,6)="Review")</formula>
    </cfRule>
  </conditionalFormatting>
  <conditionalFormatting sqref="B9:E9">
    <cfRule type="expression" dxfId="354" priority="7">
      <formula>$E9="Not applicable"</formula>
    </cfRule>
  </conditionalFormatting>
  <conditionalFormatting sqref="E9:E9">
    <cfRule type="expression" dxfId="355" priority="8">
      <formula>OR($E9="Needs answer",$E9="Explain why",LEFT($E9,6)="Review")</formula>
    </cfRule>
  </conditionalFormatting>
  <conditionalFormatting sqref="B10:E10">
    <cfRule type="expression" dxfId="356" priority="9">
      <formula>$E10="Not applicable"</formula>
    </cfRule>
  </conditionalFormatting>
  <conditionalFormatting sqref="E10:E10">
    <cfRule type="expression" dxfId="357" priority="10">
      <formula>OR($E10="Needs answer",$E10="Explain why",LEFT($E10,6)="Review")</formula>
    </cfRule>
  </conditionalFormatting>
  <conditionalFormatting sqref="B11:E11">
    <cfRule type="expression" dxfId="358" priority="11">
      <formula>$E11="Not applicable"</formula>
    </cfRule>
  </conditionalFormatting>
  <conditionalFormatting sqref="E11:E11">
    <cfRule type="expression" dxfId="359" priority="12">
      <formula>OR($E11="Needs answer",$E11="Explain why",LEFT($E11,6)="Review")</formula>
    </cfRule>
  </conditionalFormatting>
  <conditionalFormatting sqref="B13:E13">
    <cfRule type="expression" dxfId="360" priority="13">
      <formula>$E13="Not applicable"</formula>
    </cfRule>
  </conditionalFormatting>
  <conditionalFormatting sqref="E13:E13">
    <cfRule type="expression" dxfId="361" priority="14">
      <formula>OR($E13="Needs answer",$E13="Explain why",LEFT($E13,6)="Review")</formula>
    </cfRule>
  </conditionalFormatting>
  <conditionalFormatting sqref="C18:D18">
    <cfRule type="cellIs" dxfId="374" priority="15" operator="greaterThan">
      <formula>0</formula>
    </cfRule>
  </conditionalFormatting>
  <conditionalFormatting sqref="C19:D19">
    <cfRule type="cellIs" dxfId="375" priority="16" operator="greaterThan">
      <formula>0</formula>
    </cfRule>
  </conditionalFormatting>
  <conditionalFormatting sqref="C20:D20">
    <cfRule type="cellIs" dxfId="376" priority="17" operator="greaterThan">
      <formula>0</formula>
    </cfRule>
  </conditionalFormatting>
  <conditionalFormatting sqref="C21:D21">
    <cfRule type="cellIs" dxfId="377" priority="18" operator="greaterThan">
      <formula>0</formula>
    </cfRule>
  </conditionalFormatting>
  <conditionalFormatting sqref="C22:D22">
    <cfRule type="cellIs" dxfId="378" priority="19" operator="greaterThan">
      <formula>0</formula>
    </cfRule>
  </conditionalFormatting>
  <conditionalFormatting sqref="C23:D23">
    <cfRule type="cellIs" dxfId="379" priority="20" operator="greaterThan">
      <formula>0</formula>
    </cfRule>
  </conditionalFormatting>
  <conditionalFormatting sqref="C24:D24">
    <cfRule type="cellIs" dxfId="380" priority="21" operator="greaterThan">
      <formula>0</formula>
    </cfRule>
  </conditionalFormatting>
  <conditionalFormatting sqref="C25:D25">
    <cfRule type="cellIs" dxfId="381" priority="22" operator="greaterThan">
      <formula>0</formula>
    </cfRule>
  </conditionalFormatting>
  <conditionalFormatting sqref="C26:D26">
    <cfRule type="cellIs" dxfId="382" priority="23" operator="greaterThan">
      <formula>0</formula>
    </cfRule>
  </conditionalFormatting>
  <conditionalFormatting sqref="C27:D27">
    <cfRule type="cellIs" dxfId="383" priority="24" operator="greaterThan">
      <formula>0</formula>
    </cfRule>
  </conditionalFormatting>
  <conditionalFormatting sqref="C28:D28">
    <cfRule type="cellIs" dxfId="384" priority="25" operator="greaterThan">
      <formula>0</formula>
    </cfRule>
  </conditionalFormatting>
  <conditionalFormatting sqref="C29:D29">
    <cfRule type="cellIs" dxfId="385" priority="26" operator="greaterThan">
      <formula>0</formula>
    </cfRule>
  </conditionalFormatting>
  <hyperlinks>
    <hyperlink ref="B18" location="'01 Confirm the basics'!B1"/>
    <hyperlink ref="B19" location="'02 How things are now'!B1"/>
    <hyperlink ref="B20" location="'03 A usual day'!B1"/>
    <hyperlink ref="B21" location="'04 Health and comfort'!B1"/>
    <hyperlink ref="B22" location="'05 Medication'!B1"/>
    <hyperlink ref="B23" location="'06 Living situation'!B1"/>
    <hyperlink ref="B24" location="'07 Recent care and history'!B1"/>
    <hyperlink ref="B25" location="'08 Substance use and recovery'!B1"/>
    <hyperlink ref="B26" location="'09 Safety and support'!B1"/>
    <hyperlink ref="B27" location="'10 Decisions and legal support'!B1"/>
    <hyperlink ref="B28" location="'11 What matters next'!B1"/>
    <hyperlink ref="B29" location="'12 Anything else'!B1"/>
  </hyperlinks>
  <pageMargins left="0.3" right="0.3" top="0.4" bottom="0.4" header="0.2" footer="0.2"/>
  <pageSetup paperSize="1" orientation="landscape" fitToWidth="1" fitToHeight="0"/>
</worksheet>
</file>

<file path=xl/worksheets/sheet14.xml><?xml version="1.0" encoding="utf-8"?>
<worksheet xmlns="http://schemas.openxmlformats.org/spreadsheetml/2006/main">
  <sheetFormatPr defaultRowHeight="15"/>
  <sheetData>
    <row r="1">
      <c r="A1" t="str">
        <v>Format</v>
      </c>
      <c r="B1" t="str">
        <v>PIPELINE_ASSESSMENT_BACKUP_V2</v>
      </c>
    </row>
    <row r="2">
      <c r="A2" t="str">
        <v>Questionnaire fingerprint</v>
      </c>
      <c r="B2" t="str">
        <v>abb8ea3d3c86c8749559278d11d52373dba873f4d10aa8ff44567fdc2f788818</v>
      </c>
    </row>
    <row r="3">
      <c r="A3" t="str">
        <v>Working copy identity</v>
      </c>
      <c r="B3" t="str"/>
    </row>
    <row r="6">
      <c r="A6" t="str">
        <v>resident_name</v>
      </c>
      <c r="B6" t="str">
        <v>01 Confirm the basics!C6</v>
      </c>
      <c r="C6" t="str"/>
      <c r="D6" t="str"/>
      <c r="E6" t="str"/>
      <c r="F6" t="str"/>
      <c r="G6" t="str"/>
      <c r="H6" t="str"/>
      <c r="I6" t="str"/>
      <c r="J6" t="str"/>
      <c r="K6" t="str"/>
      <c r="L6" t="str"/>
      <c r="M6" t="str"/>
      <c r="N6" t="str"/>
      <c r="O6" t="str"/>
      <c r="P6" t="str"/>
      <c r="Q6" t="str"/>
      <c r="R6" t="str"/>
    </row>
    <row r="7">
      <c r="A7" t="str">
        <v>date_of_birth</v>
      </c>
      <c r="B7" t="str">
        <v>01 Confirm the basics!C7</v>
      </c>
      <c r="C7" t="str"/>
      <c r="D7" t="str"/>
      <c r="E7" t="str"/>
      <c r="F7" t="str"/>
      <c r="G7" t="str"/>
      <c r="H7" t="str"/>
      <c r="I7" t="str"/>
      <c r="J7" t="str"/>
      <c r="K7" t="str"/>
      <c r="L7" t="str"/>
      <c r="M7" t="str"/>
      <c r="N7" t="str"/>
      <c r="O7" t="str"/>
      <c r="P7" t="str"/>
      <c r="Q7" t="str"/>
      <c r="R7" t="str"/>
    </row>
    <row r="8">
      <c r="A8" t="str">
        <v>community</v>
      </c>
      <c r="B8" t="str">
        <v>01 Confirm the basics!C8</v>
      </c>
      <c r="C8" t="str"/>
      <c r="D8" t="str"/>
      <c r="E8" t="str"/>
      <c r="F8" t="str"/>
      <c r="G8" t="str"/>
      <c r="H8" t="str"/>
      <c r="I8" t="str"/>
      <c r="J8" t="str"/>
      <c r="K8" t="str"/>
      <c r="L8" t="str"/>
      <c r="M8" t="str"/>
      <c r="N8" t="str"/>
      <c r="O8" t="str"/>
      <c r="P8" t="str"/>
      <c r="Q8" t="str"/>
      <c r="R8" t="str"/>
    </row>
    <row r="9">
      <c r="A9" t="str">
        <v>assessment_date</v>
      </c>
      <c r="B9" t="str">
        <v>01 Confirm the basics!C9</v>
      </c>
      <c r="C9" t="str"/>
      <c r="D9" t="str"/>
      <c r="E9" t="str"/>
      <c r="F9" t="str"/>
      <c r="G9" t="str"/>
      <c r="H9" t="str"/>
      <c r="I9" t="str"/>
      <c r="J9" t="str"/>
      <c r="K9" t="str"/>
      <c r="L9" t="str"/>
      <c r="M9" t="str"/>
      <c r="N9" t="str"/>
      <c r="O9" t="str"/>
      <c r="P9" t="str"/>
      <c r="Q9" t="str"/>
      <c r="R9" t="str"/>
    </row>
    <row r="10">
      <c r="A10" t="str">
        <v>referral_received_date</v>
      </c>
      <c r="B10" t="str">
        <v>01 Confirm the basics!C10</v>
      </c>
      <c r="C10" t="str"/>
      <c r="D10" t="str"/>
      <c r="E10" t="str"/>
      <c r="F10" t="str"/>
      <c r="G10" t="str"/>
      <c r="H10" t="str"/>
      <c r="I10" t="str"/>
      <c r="J10" t="str"/>
      <c r="K10" t="str"/>
      <c r="L10" t="str"/>
      <c r="M10" t="str"/>
      <c r="N10" t="str"/>
      <c r="O10" t="str"/>
      <c r="P10" t="str"/>
      <c r="Q10" t="str"/>
      <c r="R10" t="str"/>
    </row>
    <row r="11">
      <c r="A11" t="str">
        <v>referrer_name</v>
      </c>
      <c r="B11" t="str">
        <v>01 Confirm the basics!C11</v>
      </c>
      <c r="C11" t="str"/>
      <c r="D11" t="str"/>
      <c r="E11" t="str"/>
      <c r="F11" t="str"/>
      <c r="G11" t="str"/>
      <c r="H11" t="str"/>
      <c r="I11" t="str"/>
      <c r="J11" t="str"/>
      <c r="K11" t="str"/>
      <c r="L11" t="str"/>
      <c r="M11" t="str"/>
      <c r="N11" t="str"/>
      <c r="O11" t="str"/>
      <c r="P11" t="str"/>
      <c r="Q11" t="str"/>
      <c r="R11" t="str"/>
    </row>
    <row r="12">
      <c r="A12" t="str">
        <v>referrer_contact</v>
      </c>
      <c r="B12" t="str">
        <v>01 Confirm the basics!C12</v>
      </c>
      <c r="C12" t="str"/>
      <c r="D12" t="str"/>
      <c r="E12" t="str"/>
      <c r="F12" t="str"/>
      <c r="G12" t="str"/>
      <c r="H12" t="str"/>
      <c r="I12" t="str"/>
      <c r="J12" t="str"/>
      <c r="K12" t="str"/>
      <c r="L12" t="str"/>
      <c r="M12" t="str"/>
      <c r="N12" t="str"/>
      <c r="O12" t="str"/>
      <c r="P12" t="str"/>
      <c r="Q12" t="str"/>
      <c r="R12" t="str"/>
    </row>
    <row r="13">
      <c r="A13" t="str">
        <v>current_location</v>
      </c>
      <c r="B13" t="str">
        <v>01 Confirm the basics!C13</v>
      </c>
      <c r="C13" t="str"/>
      <c r="D13" t="str"/>
      <c r="E13" t="str"/>
      <c r="F13" t="str"/>
      <c r="G13" t="str"/>
      <c r="H13" t="str"/>
      <c r="I13" t="str"/>
      <c r="J13" t="str"/>
      <c r="K13" t="str"/>
      <c r="L13" t="str"/>
      <c r="M13" t="str"/>
      <c r="N13" t="str"/>
      <c r="O13" t="str"/>
      <c r="P13" t="str"/>
      <c r="Q13" t="str"/>
      <c r="R13" t="str"/>
    </row>
    <row r="14">
      <c r="A14" t="str">
        <v>time_at_current_location</v>
      </c>
      <c r="B14" t="str">
        <v>01 Confirm the basics!C14</v>
      </c>
      <c r="C14" t="str"/>
      <c r="D14" t="str"/>
      <c r="E14" t="str"/>
      <c r="F14" t="str"/>
      <c r="G14" t="str"/>
      <c r="H14" t="str"/>
      <c r="I14" t="str"/>
      <c r="J14" t="str"/>
      <c r="K14" t="str"/>
      <c r="L14" t="str"/>
      <c r="M14" t="str"/>
      <c r="N14" t="str"/>
      <c r="O14" t="str"/>
      <c r="P14" t="str"/>
      <c r="Q14" t="str"/>
      <c r="R14" t="str"/>
    </row>
    <row r="15">
      <c r="A15" t="str">
        <v>resident_number</v>
      </c>
      <c r="B15" t="str">
        <v>01 Confirm the basics!C15</v>
      </c>
      <c r="C15" t="str"/>
      <c r="D15" t="str"/>
      <c r="E15" t="str"/>
      <c r="F15" t="str"/>
      <c r="G15" t="str"/>
      <c r="H15" t="str"/>
      <c r="I15" t="str"/>
      <c r="J15" t="str"/>
      <c r="K15" t="str"/>
      <c r="L15" t="str"/>
      <c r="M15" t="str"/>
      <c r="N15" t="str"/>
      <c r="O15" t="str"/>
      <c r="P15" t="str"/>
      <c r="Q15" t="str"/>
      <c r="R15" t="str"/>
    </row>
    <row r="16">
      <c r="A16" t="str">
        <v>assessor</v>
      </c>
      <c r="B16" t="str">
        <v>01 Confirm the basics!C16</v>
      </c>
      <c r="C16" t="str"/>
      <c r="D16" t="str"/>
      <c r="E16" t="str"/>
      <c r="F16" t="str"/>
      <c r="G16" t="str"/>
      <c r="H16" t="str"/>
      <c r="I16" t="str"/>
      <c r="J16" t="str"/>
      <c r="K16" t="str"/>
      <c r="L16" t="str"/>
      <c r="M16" t="str"/>
      <c r="N16" t="str"/>
      <c r="O16" t="str"/>
      <c r="P16" t="str"/>
      <c r="Q16" t="str"/>
      <c r="R16" t="str"/>
    </row>
    <row r="17">
      <c r="A17" t="str">
        <v>diagnosis_categories</v>
      </c>
      <c r="B17" t="str">
        <v>02 How things are now!C6</v>
      </c>
      <c r="C17" t="str"/>
      <c r="D17" t="str"/>
      <c r="E17" t="str"/>
      <c r="F17" t="str"/>
      <c r="G17" t="str"/>
      <c r="H17" t="str"/>
      <c r="I17" t="str"/>
      <c r="J17" t="str"/>
      <c r="K17" t="str"/>
      <c r="L17" t="str"/>
      <c r="M17" t="str"/>
      <c r="N17" t="str"/>
      <c r="O17" t="str"/>
      <c r="P17" t="str"/>
      <c r="Q17" t="str"/>
      <c r="R17" t="str"/>
    </row>
    <row r="18">
      <c r="A18" t="str">
        <v>diagnosis_other_detail</v>
      </c>
      <c r="B18" t="str">
        <v>02 How things are now!C20</v>
      </c>
      <c r="C18" t="str"/>
      <c r="D18" t="str"/>
      <c r="E18" t="str"/>
      <c r="F18" t="str"/>
      <c r="G18" t="str"/>
      <c r="H18" t="str"/>
      <c r="I18" t="str"/>
      <c r="J18" t="str"/>
      <c r="K18" t="str"/>
      <c r="L18" t="str"/>
      <c r="M18" t="str"/>
      <c r="N18" t="str"/>
      <c r="O18" t="str"/>
      <c r="P18" t="str"/>
      <c r="Q18" t="str"/>
      <c r="R18" t="str"/>
    </row>
    <row r="19">
      <c r="A19" t="str">
        <v>secondary_diagnoses</v>
      </c>
      <c r="B19" t="str">
        <v>02 How things are now!C21</v>
      </c>
      <c r="C19" t="str"/>
      <c r="D19" t="str"/>
      <c r="E19" t="str"/>
      <c r="F19" t="str"/>
      <c r="G19" t="str"/>
      <c r="H19" t="str"/>
      <c r="I19" t="str"/>
      <c r="J19" t="str"/>
      <c r="K19" t="str"/>
      <c r="L19" t="str"/>
      <c r="M19" t="str"/>
      <c r="N19" t="str"/>
      <c r="O19" t="str"/>
      <c r="P19" t="str"/>
      <c r="Q19" t="str"/>
      <c r="R19" t="str"/>
    </row>
    <row r="20">
      <c r="A20" t="str">
        <v>current_symptoms</v>
      </c>
      <c r="B20" t="str">
        <v>02 How things are now!C35</v>
      </c>
      <c r="C20" t="str"/>
      <c r="D20" t="str"/>
      <c r="E20" t="str"/>
      <c r="F20" t="str"/>
      <c r="G20" t="str"/>
      <c r="H20" t="str"/>
      <c r="I20" t="str"/>
      <c r="J20" t="str"/>
      <c r="K20" t="str"/>
      <c r="L20" t="str"/>
      <c r="M20" t="str"/>
      <c r="N20" t="str"/>
      <c r="O20" t="str"/>
      <c r="P20" t="str"/>
      <c r="Q20" t="str"/>
      <c r="R20" t="str"/>
    </row>
    <row r="21">
      <c r="A21" t="str">
        <v>cognition_orientation</v>
      </c>
      <c r="B21" t="str">
        <v>02 How things are now!C36</v>
      </c>
      <c r="C21" t="str"/>
      <c r="D21" t="str"/>
      <c r="E21" t="str"/>
      <c r="F21" t="str"/>
      <c r="G21" t="str"/>
      <c r="H21" t="str"/>
      <c r="I21" t="str"/>
      <c r="J21" t="str"/>
      <c r="K21" t="str"/>
      <c r="L21" t="str"/>
      <c r="M21" t="str"/>
      <c r="N21" t="str"/>
      <c r="O21" t="str"/>
      <c r="P21" t="str"/>
      <c r="Q21" t="str"/>
      <c r="R21" t="str"/>
    </row>
    <row r="22">
      <c r="A22" t="str">
        <v>primary_diagnosis</v>
      </c>
      <c r="B22" t="str">
        <v>02 How things are now!C37</v>
      </c>
      <c r="C22" t="str"/>
      <c r="D22" t="str"/>
      <c r="E22" t="str"/>
      <c r="F22" t="str"/>
      <c r="G22" t="str"/>
      <c r="H22" t="str"/>
      <c r="I22" t="str"/>
      <c r="J22" t="str"/>
      <c r="K22" t="str"/>
      <c r="L22" t="str"/>
      <c r="M22" t="str"/>
      <c r="N22" t="str"/>
      <c r="O22" t="str"/>
      <c r="P22" t="str"/>
      <c r="Q22" t="str"/>
      <c r="R22" t="str"/>
    </row>
    <row r="23">
      <c r="A23" t="str">
        <v>acuity_level</v>
      </c>
      <c r="B23" t="str">
        <v>02 How things are now!C38</v>
      </c>
      <c r="C23" t="str"/>
      <c r="D23" t="str"/>
      <c r="E23" t="str"/>
      <c r="F23" t="str"/>
      <c r="G23" t="str"/>
      <c r="H23" t="str"/>
      <c r="I23" t="str"/>
      <c r="J23" t="str"/>
      <c r="K23" t="str"/>
      <c r="L23" t="str"/>
      <c r="M23" t="str"/>
      <c r="N23" t="str"/>
      <c r="O23" t="str"/>
      <c r="P23" t="str"/>
      <c r="Q23" t="str"/>
      <c r="R23" t="str"/>
    </row>
    <row r="24">
      <c r="A24" t="str">
        <v>dress_assistance_level</v>
      </c>
      <c r="B24" t="str">
        <v>03 A usual day!C6</v>
      </c>
      <c r="C24" t="str"/>
      <c r="D24" t="str"/>
      <c r="E24" t="str"/>
      <c r="F24" t="str"/>
      <c r="G24" t="str"/>
      <c r="H24" t="str"/>
      <c r="I24" t="str"/>
      <c r="J24" t="str"/>
      <c r="K24" t="str"/>
      <c r="L24" t="str"/>
      <c r="M24" t="str"/>
      <c r="N24" t="str"/>
      <c r="O24" t="str"/>
      <c r="P24" t="str"/>
      <c r="Q24" t="str"/>
      <c r="R24" t="str"/>
    </row>
    <row r="25">
      <c r="A25" t="str">
        <v>dress_assistance_details</v>
      </c>
      <c r="B25" t="str">
        <v>03 A usual day!C7</v>
      </c>
      <c r="C25" t="str"/>
      <c r="D25" t="str"/>
      <c r="E25" t="str"/>
      <c r="F25" t="str"/>
      <c r="G25" t="str"/>
      <c r="H25" t="str"/>
      <c r="I25" t="str"/>
      <c r="J25" t="str"/>
      <c r="K25" t="str"/>
      <c r="L25" t="str"/>
      <c r="M25" t="str"/>
      <c r="N25" t="str"/>
      <c r="O25" t="str"/>
      <c r="P25" t="str"/>
      <c r="Q25" t="str"/>
      <c r="R25" t="str"/>
    </row>
    <row r="26">
      <c r="A26" t="str">
        <v>bathing_assistance_level</v>
      </c>
      <c r="B26" t="str">
        <v>03 A usual day!C8</v>
      </c>
      <c r="C26" t="str"/>
      <c r="D26" t="str"/>
      <c r="E26" t="str"/>
      <c r="F26" t="str"/>
      <c r="G26" t="str"/>
      <c r="H26" t="str"/>
      <c r="I26" t="str"/>
      <c r="J26" t="str"/>
      <c r="K26" t="str"/>
      <c r="L26" t="str"/>
      <c r="M26" t="str"/>
      <c r="N26" t="str"/>
      <c r="O26" t="str"/>
      <c r="P26" t="str"/>
      <c r="Q26" t="str"/>
      <c r="R26" t="str"/>
    </row>
    <row r="27">
      <c r="A27" t="str">
        <v>bathing_assistance_details</v>
      </c>
      <c r="B27" t="str">
        <v>03 A usual day!C9</v>
      </c>
      <c r="C27" t="str"/>
      <c r="D27" t="str"/>
      <c r="E27" t="str"/>
      <c r="F27" t="str"/>
      <c r="G27" t="str"/>
      <c r="H27" t="str"/>
      <c r="I27" t="str"/>
      <c r="J27" t="str"/>
      <c r="K27" t="str"/>
      <c r="L27" t="str"/>
      <c r="M27" t="str"/>
      <c r="N27" t="str"/>
      <c r="O27" t="str"/>
      <c r="P27" t="str"/>
      <c r="Q27" t="str"/>
      <c r="R27" t="str"/>
    </row>
    <row r="28">
      <c r="A28" t="str">
        <v>overall_hygiene_rating</v>
      </c>
      <c r="B28" t="str">
        <v>03 A usual day!C10</v>
      </c>
      <c r="C28" t="str"/>
      <c r="D28" t="str"/>
      <c r="E28" t="str"/>
      <c r="F28" t="str"/>
      <c r="G28" t="str"/>
      <c r="H28" t="str"/>
      <c r="I28" t="str"/>
      <c r="J28" t="str"/>
      <c r="K28" t="str"/>
      <c r="L28" t="str"/>
      <c r="M28" t="str"/>
      <c r="N28" t="str"/>
      <c r="O28" t="str"/>
      <c r="P28" t="str"/>
      <c r="Q28" t="str"/>
      <c r="R28" t="str"/>
    </row>
    <row r="29">
      <c r="A29" t="str">
        <v>adl_needs</v>
      </c>
      <c r="B29" t="str">
        <v>03 A usual day!C11</v>
      </c>
      <c r="C29" t="str"/>
      <c r="D29" t="str"/>
      <c r="E29" t="str"/>
      <c r="F29" t="str"/>
      <c r="G29" t="str"/>
      <c r="H29" t="str"/>
      <c r="I29" t="str"/>
      <c r="J29" t="str"/>
      <c r="K29" t="str"/>
      <c r="L29" t="str"/>
      <c r="M29" t="str"/>
      <c r="N29" t="str"/>
      <c r="O29" t="str"/>
      <c r="P29" t="str"/>
      <c r="Q29" t="str"/>
      <c r="R29" t="str"/>
    </row>
    <row r="30">
      <c r="A30" t="str">
        <v>prompting_level</v>
      </c>
      <c r="B30" t="str">
        <v>03 A usual day!C12</v>
      </c>
      <c r="C30" t="str"/>
      <c r="D30" t="str"/>
      <c r="E30" t="str"/>
      <c r="F30" t="str"/>
      <c r="G30" t="str"/>
      <c r="H30" t="str"/>
      <c r="I30" t="str"/>
      <c r="J30" t="str"/>
      <c r="K30" t="str"/>
      <c r="L30" t="str"/>
      <c r="M30" t="str"/>
      <c r="N30" t="str"/>
      <c r="O30" t="str"/>
      <c r="P30" t="str"/>
      <c r="Q30" t="str"/>
      <c r="R30" t="str"/>
    </row>
    <row r="31">
      <c r="A31" t="str">
        <v>self_care_status</v>
      </c>
      <c r="B31" t="str">
        <v>03 A usual day!C13</v>
      </c>
      <c r="C31" t="str"/>
      <c r="D31" t="str"/>
      <c r="E31" t="str"/>
      <c r="F31" t="str"/>
      <c r="G31" t="str"/>
      <c r="H31" t="str"/>
      <c r="I31" t="str"/>
      <c r="J31" t="str"/>
      <c r="K31" t="str"/>
      <c r="L31" t="str"/>
      <c r="M31" t="str"/>
      <c r="N31" t="str"/>
      <c r="O31" t="str"/>
      <c r="P31" t="str"/>
      <c r="Q31" t="str"/>
      <c r="R31" t="str"/>
    </row>
    <row r="32">
      <c r="A32" t="str">
        <v>ambulatory</v>
      </c>
      <c r="B32" t="str">
        <v>03 A usual day!C14</v>
      </c>
      <c r="C32" t="str"/>
      <c r="D32" t="str"/>
      <c r="E32" t="str"/>
      <c r="F32" t="str"/>
      <c r="G32" t="str"/>
      <c r="H32" t="str"/>
      <c r="I32" t="str"/>
      <c r="J32" t="str"/>
      <c r="K32" t="str"/>
      <c r="L32" t="str"/>
      <c r="M32" t="str"/>
      <c r="N32" t="str"/>
      <c r="O32" t="str"/>
      <c r="P32" t="str"/>
      <c r="Q32" t="str"/>
      <c r="R32" t="str"/>
    </row>
    <row r="33">
      <c r="A33" t="str">
        <v>mobility</v>
      </c>
      <c r="B33" t="str">
        <v>03 A usual day!C15</v>
      </c>
      <c r="C33" t="str"/>
      <c r="D33" t="str"/>
      <c r="E33" t="str"/>
      <c r="F33" t="str"/>
      <c r="G33" t="str"/>
      <c r="H33" t="str"/>
      <c r="I33" t="str"/>
      <c r="J33" t="str"/>
      <c r="K33" t="str"/>
      <c r="L33" t="str"/>
      <c r="M33" t="str"/>
      <c r="N33" t="str"/>
      <c r="O33" t="str"/>
      <c r="P33" t="str"/>
      <c r="Q33" t="str"/>
      <c r="R33" t="str"/>
    </row>
    <row r="34">
      <c r="A34" t="str">
        <v>language_barrier</v>
      </c>
      <c r="B34" t="str">
        <v>03 A usual day!C16</v>
      </c>
      <c r="C34" t="str"/>
      <c r="D34" t="str"/>
      <c r="E34" t="str"/>
      <c r="F34" t="str"/>
      <c r="G34" t="str"/>
      <c r="H34" t="str"/>
      <c r="I34" t="str"/>
      <c r="J34" t="str"/>
      <c r="K34" t="str"/>
      <c r="L34" t="str"/>
      <c r="M34" t="str"/>
      <c r="N34" t="str"/>
      <c r="O34" t="str"/>
      <c r="P34" t="str"/>
      <c r="Q34" t="str"/>
      <c r="R34" t="str"/>
    </row>
    <row r="35">
      <c r="A35" t="str">
        <v>language_barrier_details</v>
      </c>
      <c r="B35" t="str">
        <v>03 A usual day!C17</v>
      </c>
      <c r="C35" t="str"/>
      <c r="D35" t="str"/>
      <c r="E35" t="str"/>
      <c r="F35" t="str"/>
      <c r="G35" t="str"/>
      <c r="H35" t="str"/>
      <c r="I35" t="str"/>
      <c r="J35" t="str"/>
      <c r="K35" t="str"/>
      <c r="L35" t="str"/>
      <c r="M35" t="str"/>
      <c r="N35" t="str"/>
      <c r="O35" t="str"/>
      <c r="P35" t="str"/>
      <c r="Q35" t="str"/>
      <c r="R35" t="str"/>
    </row>
    <row r="36">
      <c r="A36" t="str">
        <v>linear_conversation</v>
      </c>
      <c r="B36" t="str">
        <v>03 A usual day!C18</v>
      </c>
      <c r="C36" t="str"/>
      <c r="D36" t="str"/>
      <c r="E36" t="str"/>
      <c r="F36" t="str"/>
      <c r="G36" t="str"/>
      <c r="H36" t="str"/>
      <c r="I36" t="str"/>
      <c r="J36" t="str"/>
      <c r="K36" t="str"/>
      <c r="L36" t="str"/>
      <c r="M36" t="str"/>
      <c r="N36" t="str"/>
      <c r="O36" t="str"/>
      <c r="P36" t="str"/>
      <c r="Q36" t="str"/>
      <c r="R36" t="str"/>
    </row>
    <row r="37">
      <c r="A37" t="str">
        <v>linear_conversation_details</v>
      </c>
      <c r="B37" t="str">
        <v>03 A usual day!C19</v>
      </c>
      <c r="C37" t="str"/>
      <c r="D37" t="str"/>
      <c r="E37" t="str"/>
      <c r="F37" t="str"/>
      <c r="G37" t="str"/>
      <c r="H37" t="str"/>
      <c r="I37" t="str"/>
      <c r="J37" t="str"/>
      <c r="K37" t="str"/>
      <c r="L37" t="str"/>
      <c r="M37" t="str"/>
      <c r="N37" t="str"/>
      <c r="O37" t="str"/>
      <c r="P37" t="str"/>
      <c r="Q37" t="str"/>
      <c r="R37" t="str"/>
    </row>
    <row r="38">
      <c r="A38" t="str">
        <v>peer_interaction_rating</v>
      </c>
      <c r="B38" t="str">
        <v>03 A usual day!C20</v>
      </c>
      <c r="C38" t="str"/>
      <c r="D38" t="str"/>
      <c r="E38" t="str"/>
      <c r="F38" t="str"/>
      <c r="G38" t="str"/>
      <c r="H38" t="str"/>
      <c r="I38" t="str"/>
      <c r="J38" t="str"/>
      <c r="K38" t="str"/>
      <c r="L38" t="str"/>
      <c r="M38" t="str"/>
      <c r="N38" t="str"/>
      <c r="O38" t="str"/>
      <c r="P38" t="str"/>
      <c r="Q38" t="str"/>
      <c r="R38" t="str"/>
    </row>
    <row r="39">
      <c r="A39" t="str">
        <v>peer_interaction_notes</v>
      </c>
      <c r="B39" t="str">
        <v>03 A usual day!C21</v>
      </c>
      <c r="C39" t="str"/>
      <c r="D39" t="str"/>
      <c r="E39" t="str"/>
      <c r="F39" t="str"/>
      <c r="G39" t="str"/>
      <c r="H39" t="str"/>
      <c r="I39" t="str"/>
      <c r="J39" t="str"/>
      <c r="K39" t="str"/>
      <c r="L39" t="str"/>
      <c r="M39" t="str"/>
      <c r="N39" t="str"/>
      <c r="O39" t="str"/>
      <c r="P39" t="str"/>
      <c r="Q39" t="str"/>
      <c r="R39" t="str"/>
    </row>
    <row r="40">
      <c r="A40" t="str">
        <v>staff_interaction_rating</v>
      </c>
      <c r="B40" t="str">
        <v>03 A usual day!C22</v>
      </c>
      <c r="C40" t="str"/>
      <c r="D40" t="str"/>
      <c r="E40" t="str"/>
      <c r="F40" t="str"/>
      <c r="G40" t="str"/>
      <c r="H40" t="str"/>
      <c r="I40" t="str"/>
      <c r="J40" t="str"/>
      <c r="K40" t="str"/>
      <c r="L40" t="str"/>
      <c r="M40" t="str"/>
      <c r="N40" t="str"/>
      <c r="O40" t="str"/>
      <c r="P40" t="str"/>
      <c r="Q40" t="str"/>
      <c r="R40" t="str"/>
    </row>
    <row r="41">
      <c r="A41" t="str">
        <v>staff_interaction_notes</v>
      </c>
      <c r="B41" t="str">
        <v>03 A usual day!C23</v>
      </c>
      <c r="C41" t="str"/>
      <c r="D41" t="str"/>
      <c r="E41" t="str"/>
      <c r="F41" t="str"/>
      <c r="G41" t="str"/>
      <c r="H41" t="str"/>
      <c r="I41" t="str"/>
      <c r="J41" t="str"/>
      <c r="K41" t="str"/>
      <c r="L41" t="str"/>
      <c r="M41" t="str"/>
      <c r="N41" t="str"/>
      <c r="O41" t="str"/>
      <c r="P41" t="str"/>
      <c r="Q41" t="str"/>
      <c r="R41" t="str"/>
    </row>
    <row r="42">
      <c r="A42" t="str">
        <v>participates_in_programming</v>
      </c>
      <c r="B42" t="str">
        <v>03 A usual day!C24</v>
      </c>
      <c r="C42" t="str"/>
      <c r="D42" t="str"/>
      <c r="E42" t="str"/>
      <c r="F42" t="str"/>
      <c r="G42" t="str"/>
      <c r="H42" t="str"/>
      <c r="I42" t="str"/>
      <c r="J42" t="str"/>
      <c r="K42" t="str"/>
      <c r="L42" t="str"/>
      <c r="M42" t="str"/>
      <c r="N42" t="str"/>
      <c r="O42" t="str"/>
      <c r="P42" t="str"/>
      <c r="Q42" t="str"/>
      <c r="R42" t="str"/>
    </row>
    <row r="43">
      <c r="A43" t="str">
        <v>programming_notes</v>
      </c>
      <c r="B43" t="str">
        <v>03 A usual day!C25</v>
      </c>
      <c r="C43" t="str"/>
      <c r="D43" t="str"/>
      <c r="E43" t="str"/>
      <c r="F43" t="str"/>
      <c r="G43" t="str"/>
      <c r="H43" t="str"/>
      <c r="I43" t="str"/>
      <c r="J43" t="str"/>
      <c r="K43" t="str"/>
      <c r="L43" t="str"/>
      <c r="M43" t="str"/>
      <c r="N43" t="str"/>
      <c r="O43" t="str"/>
      <c r="P43" t="str"/>
      <c r="Q43" t="str"/>
      <c r="R43" t="str"/>
    </row>
    <row r="44">
      <c r="A44" t="str">
        <v>physical_health_concerns</v>
      </c>
      <c r="B44" t="str">
        <v>04 Health and comfort!C6</v>
      </c>
      <c r="C44" t="str"/>
      <c r="D44" t="str"/>
      <c r="E44" t="str"/>
      <c r="F44" t="str"/>
      <c r="G44" t="str"/>
      <c r="H44" t="str"/>
      <c r="I44" t="str"/>
      <c r="J44" t="str"/>
      <c r="K44" t="str"/>
      <c r="L44" t="str"/>
      <c r="M44" t="str"/>
      <c r="N44" t="str"/>
      <c r="O44" t="str"/>
      <c r="P44" t="str"/>
      <c r="Q44" t="str"/>
      <c r="R44" t="str"/>
    </row>
    <row r="45">
      <c r="A45" t="str">
        <v>physical_health_diagnoses</v>
      </c>
      <c r="B45" t="str">
        <v>04 Health and comfort!C7</v>
      </c>
      <c r="C45" t="str"/>
      <c r="D45" t="str"/>
      <c r="E45" t="str"/>
      <c r="F45" t="str"/>
      <c r="G45" t="str"/>
      <c r="H45" t="str"/>
      <c r="I45" t="str"/>
      <c r="J45" t="str"/>
      <c r="K45" t="str"/>
      <c r="L45" t="str"/>
      <c r="M45" t="str"/>
      <c r="N45" t="str"/>
      <c r="O45" t="str"/>
      <c r="P45" t="str"/>
      <c r="Q45" t="str"/>
      <c r="R45" t="str"/>
    </row>
    <row r="46">
      <c r="A46" t="str">
        <v>physical_health_measures</v>
      </c>
      <c r="B46" t="str">
        <v>04 Health and comfort!C8</v>
      </c>
      <c r="C46" t="str"/>
      <c r="D46" t="str"/>
      <c r="E46" t="str"/>
      <c r="F46" t="str"/>
      <c r="G46" t="str"/>
      <c r="H46" t="str"/>
      <c r="I46" t="str"/>
      <c r="J46" t="str"/>
      <c r="K46" t="str"/>
      <c r="L46" t="str"/>
      <c r="M46" t="str"/>
      <c r="N46" t="str"/>
      <c r="O46" t="str"/>
      <c r="P46" t="str"/>
      <c r="Q46" t="str"/>
      <c r="R46" t="str"/>
    </row>
    <row r="47">
      <c r="A47" t="str">
        <v>diabetic</v>
      </c>
      <c r="B47" t="str">
        <v>04 Health and comfort!C9</v>
      </c>
      <c r="C47" t="str"/>
      <c r="D47" t="str"/>
      <c r="E47" t="str"/>
      <c r="F47" t="str"/>
      <c r="G47" t="str"/>
      <c r="H47" t="str"/>
      <c r="I47" t="str"/>
      <c r="J47" t="str"/>
      <c r="K47" t="str"/>
      <c r="L47" t="str"/>
      <c r="M47" t="str"/>
      <c r="N47" t="str"/>
      <c r="O47" t="str"/>
      <c r="P47" t="str"/>
      <c r="Q47" t="str"/>
      <c r="R47" t="str"/>
    </row>
    <row r="48">
      <c r="A48" t="str">
        <v>diabetic_details</v>
      </c>
      <c r="B48" t="str">
        <v>04 Health and comfort!C10</v>
      </c>
      <c r="C48" t="str"/>
      <c r="D48" t="str"/>
      <c r="E48" t="str"/>
      <c r="F48" t="str"/>
      <c r="G48" t="str"/>
      <c r="H48" t="str"/>
      <c r="I48" t="str"/>
      <c r="J48" t="str"/>
      <c r="K48" t="str"/>
      <c r="L48" t="str"/>
      <c r="M48" t="str"/>
      <c r="N48" t="str"/>
      <c r="O48" t="str"/>
      <c r="P48" t="str"/>
      <c r="Q48" t="str"/>
      <c r="R48" t="str"/>
    </row>
    <row r="49">
      <c r="A49" t="str">
        <v>special_diet</v>
      </c>
      <c r="B49" t="str">
        <v>04 Health and comfort!C11</v>
      </c>
      <c r="C49" t="str"/>
      <c r="D49" t="str"/>
      <c r="E49" t="str"/>
      <c r="F49" t="str"/>
      <c r="G49" t="str"/>
      <c r="H49" t="str"/>
      <c r="I49" t="str"/>
      <c r="J49" t="str"/>
      <c r="K49" t="str"/>
      <c r="L49" t="str"/>
      <c r="M49" t="str"/>
      <c r="N49" t="str"/>
      <c r="O49" t="str"/>
      <c r="P49" t="str"/>
      <c r="Q49" t="str"/>
      <c r="R49" t="str"/>
    </row>
    <row r="50">
      <c r="A50" t="str">
        <v>special_diet_details</v>
      </c>
      <c r="B50" t="str">
        <v>04 Health and comfort!C12</v>
      </c>
      <c r="C50" t="str"/>
      <c r="D50" t="str"/>
      <c r="E50" t="str"/>
      <c r="F50" t="str"/>
      <c r="G50" t="str"/>
      <c r="H50" t="str"/>
      <c r="I50" t="str"/>
      <c r="J50" t="str"/>
      <c r="K50" t="str"/>
      <c r="L50" t="str"/>
      <c r="M50" t="str"/>
      <c r="N50" t="str"/>
      <c r="O50" t="str"/>
      <c r="P50" t="str"/>
      <c r="Q50" t="str"/>
      <c r="R50" t="str"/>
    </row>
    <row r="51">
      <c r="A51" t="str">
        <v>skin_integrity_issue</v>
      </c>
      <c r="B51" t="str">
        <v>04 Health and comfort!C13</v>
      </c>
      <c r="C51" t="str"/>
      <c r="D51" t="str"/>
      <c r="E51" t="str"/>
      <c r="F51" t="str"/>
      <c r="G51" t="str"/>
      <c r="H51" t="str"/>
      <c r="I51" t="str"/>
      <c r="J51" t="str"/>
      <c r="K51" t="str"/>
      <c r="L51" t="str"/>
      <c r="M51" t="str"/>
      <c r="N51" t="str"/>
      <c r="O51" t="str"/>
      <c r="P51" t="str"/>
      <c r="Q51" t="str"/>
      <c r="R51" t="str"/>
    </row>
    <row r="52">
      <c r="A52" t="str">
        <v>skin_integrity_details</v>
      </c>
      <c r="B52" t="str">
        <v>04 Health and comfort!C14</v>
      </c>
      <c r="C52" t="str"/>
      <c r="D52" t="str"/>
      <c r="E52" t="str"/>
      <c r="F52" t="str"/>
      <c r="G52" t="str"/>
      <c r="H52" t="str"/>
      <c r="I52" t="str"/>
      <c r="J52" t="str"/>
      <c r="K52" t="str"/>
      <c r="L52" t="str"/>
      <c r="M52" t="str"/>
      <c r="N52" t="str"/>
      <c r="O52" t="str"/>
      <c r="P52" t="str"/>
      <c r="Q52" t="str"/>
      <c r="R52" t="str"/>
    </row>
    <row r="53">
      <c r="A53" t="str">
        <v>uses_dentures</v>
      </c>
      <c r="B53" t="str">
        <v>04 Health and comfort!C15</v>
      </c>
      <c r="C53" t="str"/>
      <c r="D53" t="str"/>
      <c r="E53" t="str"/>
      <c r="F53" t="str"/>
      <c r="G53" t="str"/>
      <c r="H53" t="str"/>
      <c r="I53" t="str"/>
      <c r="J53" t="str"/>
      <c r="K53" t="str"/>
      <c r="L53" t="str"/>
      <c r="M53" t="str"/>
      <c r="N53" t="str"/>
      <c r="O53" t="str"/>
      <c r="P53" t="str"/>
      <c r="Q53" t="str"/>
      <c r="R53" t="str"/>
    </row>
    <row r="54">
      <c r="A54" t="str">
        <v>uses_hearing_aids</v>
      </c>
      <c r="B54" t="str">
        <v>04 Health and comfort!C16</v>
      </c>
      <c r="C54" t="str"/>
      <c r="D54" t="str"/>
      <c r="E54" t="str"/>
      <c r="F54" t="str"/>
      <c r="G54" t="str"/>
      <c r="H54" t="str"/>
      <c r="I54" t="str"/>
      <c r="J54" t="str"/>
      <c r="K54" t="str"/>
      <c r="L54" t="str"/>
      <c r="M54" t="str"/>
      <c r="N54" t="str"/>
      <c r="O54" t="str"/>
      <c r="P54" t="str"/>
      <c r="Q54" t="str"/>
      <c r="R54" t="str"/>
    </row>
    <row r="55">
      <c r="A55" t="str">
        <v>uses_glasses</v>
      </c>
      <c r="B55" t="str">
        <v>04 Health and comfort!C17</v>
      </c>
      <c r="C55" t="str"/>
      <c r="D55" t="str"/>
      <c r="E55" t="str"/>
      <c r="F55" t="str"/>
      <c r="G55" t="str"/>
      <c r="H55" t="str"/>
      <c r="I55" t="str"/>
      <c r="J55" t="str"/>
      <c r="K55" t="str"/>
      <c r="L55" t="str"/>
      <c r="M55" t="str"/>
      <c r="N55" t="str"/>
      <c r="O55" t="str"/>
      <c r="P55" t="str"/>
      <c r="Q55" t="str"/>
      <c r="R55" t="str"/>
    </row>
    <row r="56">
      <c r="A56" t="str">
        <v>uses_oxygen</v>
      </c>
      <c r="B56" t="str">
        <v>04 Health and comfort!C18</v>
      </c>
      <c r="C56" t="str"/>
      <c r="D56" t="str"/>
      <c r="E56" t="str"/>
      <c r="F56" t="str"/>
      <c r="G56" t="str"/>
      <c r="H56" t="str"/>
      <c r="I56" t="str"/>
      <c r="J56" t="str"/>
      <c r="K56" t="str"/>
      <c r="L56" t="str"/>
      <c r="M56" t="str"/>
      <c r="N56" t="str"/>
      <c r="O56" t="str"/>
      <c r="P56" t="str"/>
      <c r="Q56" t="str"/>
      <c r="R56" t="str"/>
    </row>
    <row r="57">
      <c r="A57" t="str">
        <v>uses_hospital_bed</v>
      </c>
      <c r="B57" t="str">
        <v>04 Health and comfort!C19</v>
      </c>
      <c r="C57" t="str"/>
      <c r="D57" t="str"/>
      <c r="E57" t="str"/>
      <c r="F57" t="str"/>
      <c r="G57" t="str"/>
      <c r="H57" t="str"/>
      <c r="I57" t="str"/>
      <c r="J57" t="str"/>
      <c r="K57" t="str"/>
      <c r="L57" t="str"/>
      <c r="M57" t="str"/>
      <c r="N57" t="str"/>
      <c r="O57" t="str"/>
      <c r="P57" t="str"/>
      <c r="Q57" t="str"/>
      <c r="R57" t="str"/>
    </row>
    <row r="58">
      <c r="A58" t="str">
        <v>uses_cpap</v>
      </c>
      <c r="B58" t="str">
        <v>04 Health and comfort!C20</v>
      </c>
      <c r="C58" t="str"/>
      <c r="D58" t="str"/>
      <c r="E58" t="str"/>
      <c r="F58" t="str"/>
      <c r="G58" t="str"/>
      <c r="H58" t="str"/>
      <c r="I58" t="str"/>
      <c r="J58" t="str"/>
      <c r="K58" t="str"/>
      <c r="L58" t="str"/>
      <c r="M58" t="str"/>
      <c r="N58" t="str"/>
      <c r="O58" t="str"/>
      <c r="P58" t="str"/>
      <c r="Q58" t="str"/>
      <c r="R58" t="str"/>
    </row>
    <row r="59">
      <c r="A59" t="str">
        <v>catheter_care</v>
      </c>
      <c r="B59" t="str">
        <v>04 Health and comfort!C21</v>
      </c>
      <c r="C59" t="str"/>
      <c r="D59" t="str"/>
      <c r="E59" t="str"/>
      <c r="F59" t="str"/>
      <c r="G59" t="str"/>
      <c r="H59" t="str"/>
      <c r="I59" t="str"/>
      <c r="J59" t="str"/>
      <c r="K59" t="str"/>
      <c r="L59" t="str"/>
      <c r="M59" t="str"/>
      <c r="N59" t="str"/>
      <c r="O59" t="str"/>
      <c r="P59" t="str"/>
      <c r="Q59" t="str"/>
      <c r="R59" t="str"/>
    </row>
    <row r="60">
      <c r="A60" t="str">
        <v>colostomy</v>
      </c>
      <c r="B60" t="str">
        <v>04 Health and comfort!C22</v>
      </c>
      <c r="C60" t="str"/>
      <c r="D60" t="str"/>
      <c r="E60" t="str"/>
      <c r="F60" t="str"/>
      <c r="G60" t="str"/>
      <c r="H60" t="str"/>
      <c r="I60" t="str"/>
      <c r="J60" t="str"/>
      <c r="K60" t="str"/>
      <c r="L60" t="str"/>
      <c r="M60" t="str"/>
      <c r="N60" t="str"/>
      <c r="O60" t="str"/>
      <c r="P60" t="str"/>
      <c r="Q60" t="str"/>
      <c r="R60" t="str"/>
    </row>
    <row r="61">
      <c r="A61" t="str">
        <v>ileostomy</v>
      </c>
      <c r="B61" t="str">
        <v>04 Health and comfort!C23</v>
      </c>
      <c r="C61" t="str"/>
      <c r="D61" t="str"/>
      <c r="E61" t="str"/>
      <c r="F61" t="str"/>
      <c r="G61" t="str"/>
      <c r="H61" t="str"/>
      <c r="I61" t="str"/>
      <c r="J61" t="str"/>
      <c r="K61" t="str"/>
      <c r="L61" t="str"/>
      <c r="M61" t="str"/>
      <c r="N61" t="str"/>
      <c r="O61" t="str"/>
      <c r="P61" t="str"/>
      <c r="Q61" t="str"/>
      <c r="R61" t="str"/>
    </row>
    <row r="62">
      <c r="A62" t="str">
        <v>incontinence_issues</v>
      </c>
      <c r="B62" t="str">
        <v>04 Health and comfort!C24</v>
      </c>
      <c r="C62" t="str"/>
      <c r="D62" t="str"/>
      <c r="E62" t="str"/>
      <c r="F62" t="str"/>
      <c r="G62" t="str"/>
      <c r="H62" t="str"/>
      <c r="I62" t="str"/>
      <c r="J62" t="str"/>
      <c r="K62" t="str"/>
      <c r="L62" t="str"/>
      <c r="M62" t="str"/>
      <c r="N62" t="str"/>
      <c r="O62" t="str"/>
      <c r="P62" t="str"/>
      <c r="Q62" t="str"/>
      <c r="R62" t="str"/>
    </row>
    <row r="63">
      <c r="A63" t="str">
        <v>brief_change_support</v>
      </c>
      <c r="B63" t="str">
        <v>04 Health and comfort!C25</v>
      </c>
      <c r="C63" t="str"/>
      <c r="D63" t="str"/>
      <c r="E63" t="str"/>
      <c r="F63" t="str"/>
      <c r="G63" t="str"/>
      <c r="H63" t="str"/>
      <c r="I63" t="str"/>
      <c r="J63" t="str"/>
      <c r="K63" t="str"/>
      <c r="L63" t="str"/>
      <c r="M63" t="str"/>
      <c r="N63" t="str"/>
      <c r="O63" t="str"/>
      <c r="P63" t="str"/>
      <c r="Q63" t="str"/>
      <c r="R63" t="str"/>
    </row>
    <row r="64">
      <c r="A64" t="str">
        <v>additional_health_notes</v>
      </c>
      <c r="B64" t="str">
        <v>04 Health and comfort!C26</v>
      </c>
      <c r="C64" t="str"/>
      <c r="D64" t="str"/>
      <c r="E64" t="str"/>
      <c r="F64" t="str"/>
      <c r="G64" t="str"/>
      <c r="H64" t="str"/>
      <c r="I64" t="str"/>
      <c r="J64" t="str"/>
      <c r="K64" t="str"/>
      <c r="L64" t="str"/>
      <c r="M64" t="str"/>
      <c r="N64" t="str"/>
      <c r="O64" t="str"/>
      <c r="P64" t="str"/>
      <c r="Q64" t="str"/>
      <c r="R64" t="str"/>
    </row>
    <row r="65">
      <c r="A65" t="str">
        <v>medication_adherence</v>
      </c>
      <c r="B65" t="str">
        <v>05 Medication!C6</v>
      </c>
      <c r="C65" t="str"/>
      <c r="D65" t="str"/>
      <c r="E65" t="str"/>
      <c r="F65" t="str"/>
      <c r="G65" t="str"/>
      <c r="H65" t="str"/>
      <c r="I65" t="str"/>
      <c r="J65" t="str"/>
      <c r="K65" t="str"/>
      <c r="L65" t="str"/>
      <c r="M65" t="str"/>
      <c r="N65" t="str"/>
      <c r="O65" t="str"/>
      <c r="P65" t="str"/>
      <c r="Q65" t="str"/>
      <c r="R65" t="str"/>
    </row>
    <row r="66">
      <c r="A66" t="str">
        <v>last_medication_refusal_date</v>
      </c>
      <c r="B66" t="str">
        <v>05 Medication!C7</v>
      </c>
      <c r="C66" t="str"/>
      <c r="D66" t="str"/>
      <c r="E66" t="str"/>
      <c r="F66" t="str"/>
      <c r="G66" t="str"/>
      <c r="H66" t="str"/>
      <c r="I66" t="str"/>
      <c r="J66" t="str"/>
      <c r="K66" t="str"/>
      <c r="L66" t="str"/>
      <c r="M66" t="str"/>
      <c r="N66" t="str"/>
      <c r="O66" t="str"/>
      <c r="P66" t="str"/>
      <c r="Q66" t="str"/>
      <c r="R66" t="str"/>
    </row>
    <row r="67">
      <c r="A67" t="str">
        <v>medication_refused</v>
      </c>
      <c r="B67" t="str">
        <v>05 Medication!C8</v>
      </c>
      <c r="C67" t="str"/>
      <c r="D67" t="str"/>
      <c r="E67" t="str"/>
      <c r="F67" t="str"/>
      <c r="G67" t="str"/>
      <c r="H67" t="str"/>
      <c r="I67" t="str"/>
      <c r="J67" t="str"/>
      <c r="K67" t="str"/>
      <c r="L67" t="str"/>
      <c r="M67" t="str"/>
      <c r="N67" t="str"/>
      <c r="O67" t="str"/>
      <c r="P67" t="str"/>
      <c r="Q67" t="str"/>
      <c r="R67" t="str"/>
    </row>
    <row r="68">
      <c r="A68" t="str">
        <v>medication_refusals_30_days</v>
      </c>
      <c r="B68" t="str">
        <v>05 Medication!C9</v>
      </c>
      <c r="C68" t="str"/>
      <c r="D68" t="str"/>
      <c r="E68" t="str"/>
      <c r="F68" t="str"/>
      <c r="G68" t="str"/>
      <c r="H68" t="str"/>
      <c r="I68" t="str"/>
      <c r="J68" t="str"/>
      <c r="K68" t="str"/>
      <c r="L68" t="str"/>
      <c r="M68" t="str"/>
      <c r="N68" t="str"/>
      <c r="O68" t="str"/>
      <c r="P68" t="str"/>
      <c r="Q68" t="str"/>
      <c r="R68" t="str"/>
    </row>
    <row r="69">
      <c r="A69" t="str">
        <v>medications_at_intake</v>
      </c>
      <c r="B69" t="str">
        <v>05 Medication!C10</v>
      </c>
      <c r="C69" t="str"/>
      <c r="D69" t="str"/>
      <c r="E69" t="str"/>
      <c r="F69" t="str"/>
      <c r="G69" t="str"/>
      <c r="H69" t="str"/>
      <c r="I69" t="str"/>
      <c r="J69" t="str"/>
      <c r="K69" t="str"/>
      <c r="L69" t="str"/>
      <c r="M69" t="str"/>
      <c r="N69" t="str"/>
      <c r="O69" t="str"/>
      <c r="P69" t="str"/>
      <c r="Q69" t="str"/>
      <c r="R69" t="str"/>
    </row>
    <row r="70">
      <c r="A70" t="str">
        <v>prn_patterns</v>
      </c>
      <c r="B70" t="str">
        <v>05 Medication!C24</v>
      </c>
      <c r="C70" t="str"/>
      <c r="D70" t="str"/>
      <c r="E70" t="str"/>
      <c r="F70" t="str"/>
      <c r="G70" t="str"/>
      <c r="H70" t="str"/>
      <c r="I70" t="str"/>
      <c r="J70" t="str"/>
      <c r="K70" t="str"/>
      <c r="L70" t="str"/>
      <c r="M70" t="str"/>
      <c r="N70" t="str"/>
      <c r="O70" t="str"/>
      <c r="P70" t="str"/>
      <c r="Q70" t="str"/>
      <c r="R70" t="str"/>
    </row>
    <row r="71">
      <c r="A71" t="str">
        <v>im_injections</v>
      </c>
      <c r="B71" t="str">
        <v>05 Medication!C25</v>
      </c>
      <c r="C71" t="str"/>
      <c r="D71" t="str"/>
      <c r="E71" t="str"/>
      <c r="F71" t="str"/>
      <c r="G71" t="str"/>
      <c r="H71" t="str"/>
      <c r="I71" t="str"/>
      <c r="J71" t="str"/>
      <c r="K71" t="str"/>
      <c r="L71" t="str"/>
      <c r="M71" t="str"/>
      <c r="N71" t="str"/>
      <c r="O71" t="str"/>
      <c r="P71" t="str"/>
      <c r="Q71" t="str"/>
      <c r="R71" t="str"/>
    </row>
    <row r="72">
      <c r="A72" t="str">
        <v>im_injections_details</v>
      </c>
      <c r="B72" t="str">
        <v>05 Medication!C26</v>
      </c>
      <c r="C72" t="str"/>
      <c r="D72" t="str"/>
      <c r="E72" t="str"/>
      <c r="F72" t="str"/>
      <c r="G72" t="str"/>
      <c r="H72" t="str"/>
      <c r="I72" t="str"/>
      <c r="J72" t="str"/>
      <c r="K72" t="str"/>
      <c r="L72" t="str"/>
      <c r="M72" t="str"/>
      <c r="N72" t="str"/>
      <c r="O72" t="str"/>
      <c r="P72" t="str"/>
      <c r="Q72" t="str"/>
      <c r="R72" t="str"/>
    </row>
    <row r="73">
      <c r="A73" t="str">
        <v>injection_frequency</v>
      </c>
      <c r="B73" t="str">
        <v>05 Medication!C27</v>
      </c>
      <c r="C73" t="str"/>
      <c r="D73" t="str"/>
      <c r="E73" t="str"/>
      <c r="F73" t="str"/>
      <c r="G73" t="str"/>
      <c r="H73" t="str"/>
      <c r="I73" t="str"/>
      <c r="J73" t="str"/>
      <c r="K73" t="str"/>
      <c r="L73" t="str"/>
      <c r="M73" t="str"/>
      <c r="N73" t="str"/>
      <c r="O73" t="str"/>
      <c r="P73" t="str"/>
      <c r="Q73" t="str"/>
      <c r="R73" t="str"/>
    </row>
    <row r="74">
      <c r="A74" t="str">
        <v>last_injection</v>
      </c>
      <c r="B74" t="str">
        <v>05 Medication!C28</v>
      </c>
      <c r="C74" t="str"/>
      <c r="D74" t="str"/>
      <c r="E74" t="str"/>
      <c r="F74" t="str"/>
      <c r="G74" t="str"/>
      <c r="H74" t="str"/>
      <c r="I74" t="str"/>
      <c r="J74" t="str"/>
      <c r="K74" t="str"/>
      <c r="L74" t="str"/>
      <c r="M74" t="str"/>
      <c r="N74" t="str"/>
      <c r="O74" t="str"/>
      <c r="P74" t="str"/>
      <c r="Q74" t="str"/>
      <c r="R74" t="str"/>
    </row>
    <row r="75">
      <c r="A75" t="str">
        <v>next_injection_due</v>
      </c>
      <c r="B75" t="str">
        <v>05 Medication!C29</v>
      </c>
      <c r="C75" t="str"/>
      <c r="D75" t="str"/>
      <c r="E75" t="str"/>
      <c r="F75" t="str"/>
      <c r="G75" t="str"/>
      <c r="H75" t="str"/>
      <c r="I75" t="str"/>
      <c r="J75" t="str"/>
      <c r="K75" t="str"/>
      <c r="L75" t="str"/>
      <c r="M75" t="str"/>
      <c r="N75" t="str"/>
      <c r="O75" t="str"/>
      <c r="P75" t="str"/>
      <c r="Q75" t="str"/>
      <c r="R75" t="str"/>
    </row>
    <row r="76">
      <c r="A76" t="str">
        <v>lai_vs_oral</v>
      </c>
      <c r="B76" t="str">
        <v>05 Medication!C30</v>
      </c>
      <c r="C76" t="str"/>
      <c r="D76" t="str"/>
      <c r="E76" t="str"/>
      <c r="F76" t="str"/>
      <c r="G76" t="str"/>
      <c r="H76" t="str"/>
      <c r="I76" t="str"/>
      <c r="J76" t="str"/>
      <c r="K76" t="str"/>
      <c r="L76" t="str"/>
      <c r="M76" t="str"/>
      <c r="N76" t="str"/>
      <c r="O76" t="str"/>
      <c r="P76" t="str"/>
      <c r="Q76" t="str"/>
      <c r="R76" t="str"/>
    </row>
    <row r="77">
      <c r="A77" t="str">
        <v>county</v>
      </c>
      <c r="B77" t="str">
        <v>06 Living situation!C6</v>
      </c>
      <c r="C77" t="str"/>
      <c r="D77" t="str"/>
      <c r="E77" t="str"/>
      <c r="F77" t="str"/>
      <c r="G77" t="str"/>
      <c r="H77" t="str"/>
      <c r="I77" t="str"/>
      <c r="J77" t="str"/>
      <c r="K77" t="str"/>
      <c r="L77" t="str"/>
      <c r="M77" t="str"/>
      <c r="N77" t="str"/>
      <c r="O77" t="str"/>
      <c r="P77" t="str"/>
      <c r="Q77" t="str"/>
      <c r="R77" t="str"/>
    </row>
    <row r="78">
      <c r="A78" t="str">
        <v>prior_setting_bucket</v>
      </c>
      <c r="B78" t="str">
        <v>06 Living situation!C7</v>
      </c>
      <c r="C78" t="str"/>
      <c r="D78" t="str"/>
      <c r="E78" t="str"/>
      <c r="F78" t="str"/>
      <c r="G78" t="str"/>
      <c r="H78" t="str"/>
      <c r="I78" t="str"/>
      <c r="J78" t="str"/>
      <c r="K78" t="str"/>
      <c r="L78" t="str"/>
      <c r="M78" t="str"/>
      <c r="N78" t="str"/>
      <c r="O78" t="str"/>
      <c r="P78" t="str"/>
      <c r="Q78" t="str"/>
      <c r="R78" t="str"/>
    </row>
    <row r="79">
      <c r="A79" t="str">
        <v>referring_facility</v>
      </c>
      <c r="B79" t="str">
        <v>06 Living situation!C8</v>
      </c>
      <c r="C79" t="str"/>
      <c r="D79" t="str"/>
      <c r="E79" t="str"/>
      <c r="F79" t="str"/>
      <c r="G79" t="str"/>
      <c r="H79" t="str"/>
      <c r="I79" t="str"/>
      <c r="J79" t="str"/>
      <c r="K79" t="str"/>
      <c r="L79" t="str"/>
      <c r="M79" t="str"/>
      <c r="N79" t="str"/>
      <c r="O79" t="str"/>
      <c r="P79" t="str"/>
      <c r="Q79" t="str"/>
      <c r="R79" t="str"/>
    </row>
    <row r="80">
      <c r="A80" t="str">
        <v>admit_date</v>
      </c>
      <c r="B80" t="str">
        <v>06 Living situation!C9</v>
      </c>
      <c r="C80" t="str"/>
      <c r="D80" t="str"/>
      <c r="E80" t="str"/>
      <c r="F80" t="str"/>
      <c r="G80" t="str"/>
      <c r="H80" t="str"/>
      <c r="I80" t="str"/>
      <c r="J80" t="str"/>
      <c r="K80" t="str"/>
      <c r="L80" t="str"/>
      <c r="M80" t="str"/>
      <c r="N80" t="str"/>
      <c r="O80" t="str"/>
      <c r="P80" t="str"/>
      <c r="Q80" t="str"/>
      <c r="R80" t="str"/>
    </row>
    <row r="81">
      <c r="A81" t="str">
        <v>prior_placements</v>
      </c>
      <c r="B81" t="str">
        <v>07 Recent care and history!C6</v>
      </c>
      <c r="C81" t="str"/>
      <c r="D81" t="str"/>
      <c r="E81" t="str"/>
      <c r="F81" t="str"/>
      <c r="G81" t="str"/>
      <c r="H81" t="str"/>
      <c r="I81" t="str"/>
      <c r="J81" t="str"/>
      <c r="K81" t="str"/>
      <c r="L81" t="str"/>
      <c r="M81" t="str"/>
      <c r="N81" t="str"/>
      <c r="O81" t="str"/>
      <c r="P81" t="str"/>
      <c r="Q81" t="str"/>
      <c r="R81" t="str"/>
    </row>
    <row r="82">
      <c r="A82" t="str">
        <v>prior_awol_failed_placements</v>
      </c>
      <c r="B82" t="str">
        <v>07 Recent care and history!C7</v>
      </c>
      <c r="C82" t="str"/>
      <c r="D82" t="str"/>
      <c r="E82" t="str"/>
      <c r="F82" t="str"/>
      <c r="G82" t="str"/>
      <c r="H82" t="str"/>
      <c r="I82" t="str"/>
      <c r="J82" t="str"/>
      <c r="K82" t="str"/>
      <c r="L82" t="str"/>
      <c r="M82" t="str"/>
      <c r="N82" t="str"/>
      <c r="O82" t="str"/>
      <c r="P82" t="str"/>
      <c r="Q82" t="str"/>
      <c r="R82" t="str"/>
    </row>
    <row r="83">
      <c r="A83" t="str">
        <v>hospitalization_history</v>
      </c>
      <c r="B83" t="str">
        <v>07 Recent care and history!C8</v>
      </c>
      <c r="C83" t="str"/>
      <c r="D83" t="str"/>
      <c r="E83" t="str"/>
      <c r="F83" t="str"/>
      <c r="G83" t="str"/>
      <c r="H83" t="str"/>
      <c r="I83" t="str"/>
      <c r="J83" t="str"/>
      <c r="K83" t="str"/>
      <c r="L83" t="str"/>
      <c r="M83" t="str"/>
      <c r="N83" t="str"/>
      <c r="O83" t="str"/>
      <c r="P83" t="str"/>
      <c r="Q83" t="str"/>
      <c r="R83" t="str"/>
    </row>
    <row r="84">
      <c r="A84" t="str">
        <v>prior_hospitalizations_count</v>
      </c>
      <c r="B84" t="str">
        <v>07 Recent care and history!C9</v>
      </c>
      <c r="C84" t="str"/>
      <c r="D84" t="str"/>
      <c r="E84" t="str"/>
      <c r="F84" t="str"/>
      <c r="G84" t="str"/>
      <c r="H84" t="str"/>
      <c r="I84" t="str"/>
      <c r="J84" t="str"/>
      <c r="K84" t="str"/>
      <c r="L84" t="str"/>
      <c r="M84" t="str"/>
      <c r="N84" t="str"/>
      <c r="O84" t="str"/>
      <c r="P84" t="str"/>
      <c r="Q84" t="str"/>
      <c r="R84" t="str"/>
    </row>
    <row r="85">
      <c r="A85" t="str">
        <v>most_recent_hospitalization</v>
      </c>
      <c r="B85" t="str">
        <v>07 Recent care and history!C10</v>
      </c>
      <c r="C85" t="str"/>
      <c r="D85" t="str"/>
      <c r="E85" t="str"/>
      <c r="F85" t="str"/>
      <c r="G85" t="str"/>
      <c r="H85" t="str"/>
      <c r="I85" t="str"/>
      <c r="J85" t="str"/>
      <c r="K85" t="str"/>
      <c r="L85" t="str"/>
      <c r="M85" t="str"/>
      <c r="N85" t="str"/>
      <c r="O85" t="str"/>
      <c r="P85" t="str"/>
      <c r="Q85" t="str"/>
      <c r="R85" t="str"/>
    </row>
    <row r="86">
      <c r="A86" t="str">
        <v>prior_5150_5250_holds</v>
      </c>
      <c r="B86" t="str">
        <v>07 Recent care and history!C11</v>
      </c>
      <c r="C86" t="str"/>
      <c r="D86" t="str"/>
      <c r="E86" t="str"/>
      <c r="F86" t="str"/>
      <c r="G86" t="str"/>
      <c r="H86" t="str"/>
      <c r="I86" t="str"/>
      <c r="J86" t="str"/>
      <c r="K86" t="str"/>
      <c r="L86" t="str"/>
      <c r="M86" t="str"/>
      <c r="N86" t="str"/>
      <c r="O86" t="str"/>
      <c r="P86" t="str"/>
      <c r="Q86" t="str"/>
      <c r="R86" t="str"/>
    </row>
    <row r="87">
      <c r="A87" t="str">
        <v>hospitalization_timeline</v>
      </c>
      <c r="B87" t="str">
        <v>07 Recent care and history!C12</v>
      </c>
      <c r="C87" t="str"/>
      <c r="D87" t="str"/>
      <c r="E87" t="str"/>
      <c r="F87" t="str"/>
      <c r="G87" t="str"/>
      <c r="H87" t="str"/>
      <c r="I87" t="str"/>
      <c r="J87" t="str"/>
      <c r="K87" t="str"/>
      <c r="L87" t="str"/>
      <c r="M87" t="str"/>
      <c r="N87" t="str"/>
      <c r="O87" t="str"/>
      <c r="P87" t="str"/>
      <c r="Q87" t="str"/>
      <c r="R87" t="str"/>
    </row>
    <row r="88">
      <c r="A88" t="str">
        <v>crisis_er_utilization</v>
      </c>
      <c r="B88" t="str">
        <v>07 Recent care and history!C26</v>
      </c>
      <c r="C88" t="str"/>
      <c r="D88" t="str"/>
      <c r="E88" t="str"/>
      <c r="F88" t="str"/>
      <c r="G88" t="str"/>
      <c r="H88" t="str"/>
      <c r="I88" t="str"/>
      <c r="J88" t="str"/>
      <c r="K88" t="str"/>
      <c r="L88" t="str"/>
      <c r="M88" t="str"/>
      <c r="N88" t="str"/>
      <c r="O88" t="str"/>
      <c r="P88" t="str"/>
      <c r="Q88" t="str"/>
      <c r="R88" t="str"/>
    </row>
    <row r="89">
      <c r="A89" t="str">
        <v>substance_abuse_history</v>
      </c>
      <c r="B89" t="str">
        <v>08 Substance use and recovery!C6</v>
      </c>
      <c r="C89" t="str"/>
      <c r="D89" t="str"/>
      <c r="E89" t="str"/>
      <c r="F89" t="str"/>
      <c r="G89" t="str"/>
      <c r="H89" t="str"/>
      <c r="I89" t="str"/>
      <c r="J89" t="str"/>
      <c r="K89" t="str"/>
      <c r="L89" t="str"/>
      <c r="M89" t="str"/>
      <c r="N89" t="str"/>
      <c r="O89" t="str"/>
      <c r="P89" t="str"/>
      <c r="Q89" t="str"/>
      <c r="R89" t="str"/>
    </row>
    <row r="90">
      <c r="A90" t="str">
        <v>active_substance_use</v>
      </c>
      <c r="B90" t="str">
        <v>08 Substance use and recovery!C7</v>
      </c>
      <c r="C90" t="str"/>
      <c r="D90" t="str"/>
      <c r="E90" t="str"/>
      <c r="F90" t="str"/>
      <c r="G90" t="str"/>
      <c r="H90" t="str"/>
      <c r="I90" t="str"/>
      <c r="J90" t="str"/>
      <c r="K90" t="str"/>
      <c r="L90" t="str"/>
      <c r="M90" t="str"/>
      <c r="N90" t="str"/>
      <c r="O90" t="str"/>
      <c r="P90" t="str"/>
      <c r="Q90" t="str"/>
      <c r="R90" t="str"/>
    </row>
    <row r="91">
      <c r="A91" t="str">
        <v>substances</v>
      </c>
      <c r="B91" t="str">
        <v>08 Substance use and recovery!C8</v>
      </c>
      <c r="C91" t="str"/>
      <c r="D91" t="str"/>
      <c r="E91" t="str"/>
      <c r="F91" t="str"/>
      <c r="G91" t="str"/>
      <c r="H91" t="str"/>
      <c r="I91" t="str"/>
      <c r="J91" t="str"/>
      <c r="K91" t="str"/>
      <c r="L91" t="str"/>
      <c r="M91" t="str"/>
      <c r="N91" t="str"/>
      <c r="O91" t="str"/>
      <c r="P91" t="str"/>
      <c r="Q91" t="str"/>
      <c r="R91" t="str"/>
    </row>
    <row r="92">
      <c r="A92" t="str">
        <v>last_substance_use_date</v>
      </c>
      <c r="B92" t="str">
        <v>08 Substance use and recovery!C22</v>
      </c>
      <c r="C92" t="str"/>
      <c r="D92" t="str"/>
      <c r="E92" t="str"/>
      <c r="F92" t="str"/>
      <c r="G92" t="str"/>
      <c r="H92" t="str"/>
      <c r="I92" t="str"/>
      <c r="J92" t="str"/>
      <c r="K92" t="str"/>
      <c r="L92" t="str"/>
      <c r="M92" t="str"/>
      <c r="N92" t="str"/>
      <c r="O92" t="str"/>
      <c r="P92" t="str"/>
      <c r="Q92" t="str"/>
      <c r="R92" t="str"/>
    </row>
    <row r="93">
      <c r="A93" t="str">
        <v>use_pattern</v>
      </c>
      <c r="B93" t="str">
        <v>08 Substance use and recovery!C23</v>
      </c>
      <c r="C93" t="str"/>
      <c r="D93" t="str"/>
      <c r="E93" t="str"/>
      <c r="F93" t="str"/>
      <c r="G93" t="str"/>
      <c r="H93" t="str"/>
      <c r="I93" t="str"/>
      <c r="J93" t="str"/>
      <c r="K93" t="str"/>
      <c r="L93" t="str"/>
      <c r="M93" t="str"/>
      <c r="N93" t="str"/>
      <c r="O93" t="str"/>
      <c r="P93" t="str"/>
      <c r="Q93" t="str"/>
      <c r="R93" t="str"/>
    </row>
    <row r="94">
      <c r="A94" t="str">
        <v>substance_effect_on_baseline</v>
      </c>
      <c r="B94" t="str">
        <v>08 Substance use and recovery!C24</v>
      </c>
      <c r="C94" t="str"/>
      <c r="D94" t="str"/>
      <c r="E94" t="str"/>
      <c r="F94" t="str"/>
      <c r="G94" t="str"/>
      <c r="H94" t="str"/>
      <c r="I94" t="str"/>
      <c r="J94" t="str"/>
      <c r="K94" t="str"/>
      <c r="L94" t="str"/>
      <c r="M94" t="str"/>
      <c r="N94" t="str"/>
      <c r="O94" t="str"/>
      <c r="P94" t="str"/>
      <c r="Q94" t="str"/>
      <c r="R94" t="str"/>
    </row>
    <row r="95">
      <c r="A95" t="str">
        <v>longest_sobriety_period</v>
      </c>
      <c r="B95" t="str">
        <v>08 Substance use and recovery!C25</v>
      </c>
      <c r="C95" t="str"/>
      <c r="D95" t="str"/>
      <c r="E95" t="str"/>
      <c r="F95" t="str"/>
      <c r="G95" t="str"/>
      <c r="H95" t="str"/>
      <c r="I95" t="str"/>
      <c r="J95" t="str"/>
      <c r="K95" t="str"/>
      <c r="L95" t="str"/>
      <c r="M95" t="str"/>
      <c r="N95" t="str"/>
      <c r="O95" t="str"/>
      <c r="P95" t="str"/>
      <c r="Q95" t="str"/>
      <c r="R95" t="str"/>
    </row>
    <row r="96">
      <c r="A96" t="str">
        <v>substance_use_insight</v>
      </c>
      <c r="B96" t="str">
        <v>08 Substance use and recovery!C26</v>
      </c>
      <c r="C96" t="str"/>
      <c r="D96" t="str"/>
      <c r="E96" t="str"/>
      <c r="F96" t="str"/>
      <c r="G96" t="str"/>
      <c r="H96" t="str"/>
      <c r="I96" t="str"/>
      <c r="J96" t="str"/>
      <c r="K96" t="str"/>
      <c r="L96" t="str"/>
      <c r="M96" t="str"/>
      <c r="N96" t="str"/>
      <c r="O96" t="str"/>
      <c r="P96" t="str"/>
      <c r="Q96" t="str"/>
      <c r="R96" t="str"/>
    </row>
    <row r="97">
      <c r="A97" t="str">
        <v>substance_use_insight_details</v>
      </c>
      <c r="B97" t="str">
        <v>08 Substance use and recovery!C27</v>
      </c>
      <c r="C97" t="str"/>
      <c r="D97" t="str"/>
      <c r="E97" t="str"/>
      <c r="F97" t="str"/>
      <c r="G97" t="str"/>
      <c r="H97" t="str"/>
      <c r="I97" t="str"/>
      <c r="J97" t="str"/>
      <c r="K97" t="str"/>
      <c r="L97" t="str"/>
      <c r="M97" t="str"/>
      <c r="N97" t="str"/>
      <c r="O97" t="str"/>
      <c r="P97" t="str"/>
      <c r="Q97" t="str"/>
      <c r="R97" t="str"/>
    </row>
    <row r="98">
      <c r="A98" t="str">
        <v>treatment_history</v>
      </c>
      <c r="B98" t="str">
        <v>08 Substance use and recovery!C28</v>
      </c>
      <c r="C98" t="str"/>
      <c r="D98" t="str"/>
      <c r="E98" t="str"/>
      <c r="F98" t="str"/>
      <c r="G98" t="str"/>
      <c r="H98" t="str"/>
      <c r="I98" t="str"/>
      <c r="J98" t="str"/>
      <c r="K98" t="str"/>
      <c r="L98" t="str"/>
      <c r="M98" t="str"/>
      <c r="N98" t="str"/>
      <c r="O98" t="str"/>
      <c r="P98" t="str"/>
      <c r="Q98" t="str"/>
      <c r="R98" t="str"/>
    </row>
    <row r="99">
      <c r="A99" t="str">
        <v>longest_sobriety_months</v>
      </c>
      <c r="B99" t="str">
        <v>08 Substance use and recovery!C29</v>
      </c>
      <c r="C99" t="str"/>
      <c r="D99" t="str"/>
      <c r="E99" t="str"/>
      <c r="F99" t="str"/>
      <c r="G99" t="str"/>
      <c r="H99" t="str"/>
      <c r="I99" t="str"/>
      <c r="J99" t="str"/>
      <c r="K99" t="str"/>
      <c r="L99" t="str"/>
      <c r="M99" t="str"/>
      <c r="N99" t="str"/>
      <c r="O99" t="str"/>
      <c r="P99" t="str"/>
      <c r="Q99" t="str"/>
      <c r="R99" t="str"/>
    </row>
    <row r="100">
      <c r="A100" t="str">
        <v>behavioral_history</v>
      </c>
      <c r="B100" t="str">
        <v>09 Safety and support!C6</v>
      </c>
      <c r="C100" t="str"/>
      <c r="D100" t="str"/>
      <c r="E100" t="str"/>
      <c r="F100" t="str"/>
      <c r="G100" t="str"/>
      <c r="H100" t="str"/>
      <c r="I100" t="str"/>
      <c r="J100" t="str"/>
      <c r="K100" t="str"/>
      <c r="L100" t="str"/>
      <c r="M100" t="str"/>
      <c r="N100" t="str"/>
      <c r="O100" t="str"/>
      <c r="P100" t="str"/>
      <c r="Q100" t="str"/>
      <c r="R100" t="str"/>
    </row>
    <row r="101">
      <c r="A101" t="str">
        <v>physical_altercations</v>
      </c>
      <c r="B101" t="str">
        <v>09 Safety and support!C7</v>
      </c>
      <c r="C101" t="str"/>
      <c r="D101" t="str"/>
      <c r="E101" t="str"/>
      <c r="F101" t="str"/>
      <c r="G101" t="str"/>
      <c r="H101" t="str"/>
      <c r="I101" t="str"/>
      <c r="J101" t="str"/>
      <c r="K101" t="str"/>
      <c r="L101" t="str"/>
      <c r="M101" t="str"/>
      <c r="N101" t="str"/>
      <c r="O101" t="str"/>
      <c r="P101" t="str"/>
      <c r="Q101" t="str"/>
      <c r="R101" t="str"/>
    </row>
    <row r="102">
      <c r="A102" t="str">
        <v>physical_altercation_details</v>
      </c>
      <c r="B102" t="str">
        <v>09 Safety and support!C8</v>
      </c>
      <c r="C102" t="str"/>
      <c r="D102" t="str"/>
      <c r="E102" t="str"/>
      <c r="F102" t="str"/>
      <c r="G102" t="str"/>
      <c r="H102" t="str"/>
      <c r="I102" t="str"/>
      <c r="J102" t="str"/>
      <c r="K102" t="str"/>
      <c r="L102" t="str"/>
      <c r="M102" t="str"/>
      <c r="N102" t="str"/>
      <c r="O102" t="str"/>
      <c r="P102" t="str"/>
      <c r="Q102" t="str"/>
      <c r="R102" t="str"/>
    </row>
    <row r="103">
      <c r="A103" t="str">
        <v>self_harm_history</v>
      </c>
      <c r="B103" t="str">
        <v>09 Safety and support!C9</v>
      </c>
      <c r="C103" t="str"/>
      <c r="D103" t="str"/>
      <c r="E103" t="str"/>
      <c r="F103" t="str"/>
      <c r="G103" t="str"/>
      <c r="H103" t="str"/>
      <c r="I103" t="str"/>
      <c r="J103" t="str"/>
      <c r="K103" t="str"/>
      <c r="L103" t="str"/>
      <c r="M103" t="str"/>
      <c r="N103" t="str"/>
      <c r="O103" t="str"/>
      <c r="P103" t="str"/>
      <c r="Q103" t="str"/>
      <c r="R103" t="str"/>
    </row>
    <row r="104">
      <c r="A104" t="str">
        <v>last_self_harm_incident</v>
      </c>
      <c r="B104" t="str">
        <v>09 Safety and support!C10</v>
      </c>
      <c r="C104" t="str"/>
      <c r="D104" t="str"/>
      <c r="E104" t="str"/>
      <c r="F104" t="str"/>
      <c r="G104" t="str"/>
      <c r="H104" t="str"/>
      <c r="I104" t="str"/>
      <c r="J104" t="str"/>
      <c r="K104" t="str"/>
      <c r="L104" t="str"/>
      <c r="M104" t="str"/>
      <c r="N104" t="str"/>
      <c r="O104" t="str"/>
      <c r="P104" t="str"/>
      <c r="Q104" t="str"/>
      <c r="R104" t="str"/>
    </row>
    <row r="105">
      <c r="A105" t="str">
        <v>current_self_harm_ideation</v>
      </c>
      <c r="B105" t="str">
        <v>09 Safety and support!C11</v>
      </c>
      <c r="C105" t="str"/>
      <c r="D105" t="str"/>
      <c r="E105" t="str"/>
      <c r="F105" t="str"/>
      <c r="G105" t="str"/>
      <c r="H105" t="str"/>
      <c r="I105" t="str"/>
      <c r="J105" t="str"/>
      <c r="K105" t="str"/>
      <c r="L105" t="str"/>
      <c r="M105" t="str"/>
      <c r="N105" t="str"/>
      <c r="O105" t="str"/>
      <c r="P105" t="str"/>
      <c r="Q105" t="str"/>
      <c r="R105" t="str"/>
    </row>
    <row r="106">
      <c r="A106" t="str">
        <v>current_self_harm_details</v>
      </c>
      <c r="B106" t="str">
        <v>09 Safety and support!C12</v>
      </c>
      <c r="C106" t="str"/>
      <c r="D106" t="str"/>
      <c r="E106" t="str"/>
      <c r="F106" t="str"/>
      <c r="G106" t="str"/>
      <c r="H106" t="str"/>
      <c r="I106" t="str"/>
      <c r="J106" t="str"/>
      <c r="K106" t="str"/>
      <c r="L106" t="str"/>
      <c r="M106" t="str"/>
      <c r="N106" t="str"/>
      <c r="O106" t="str"/>
      <c r="P106" t="str"/>
      <c r="Q106" t="str"/>
      <c r="R106" t="str"/>
    </row>
    <row r="107">
      <c r="A107" t="str">
        <v>current_safety_measures</v>
      </c>
      <c r="B107" t="str">
        <v>09 Safety and support!C13</v>
      </c>
      <c r="C107" t="str"/>
      <c r="D107" t="str"/>
      <c r="E107" t="str"/>
      <c r="F107" t="str"/>
      <c r="G107" t="str"/>
      <c r="H107" t="str"/>
      <c r="I107" t="str"/>
      <c r="J107" t="str"/>
      <c r="K107" t="str"/>
      <c r="L107" t="str"/>
      <c r="M107" t="str"/>
      <c r="N107" t="str"/>
      <c r="O107" t="str"/>
      <c r="P107" t="str"/>
      <c r="Q107" t="str"/>
      <c r="R107" t="str"/>
    </row>
    <row r="108">
      <c r="A108" t="str">
        <v>assault_history</v>
      </c>
      <c r="B108" t="str">
        <v>09 Safety and support!C14</v>
      </c>
      <c r="C108" t="str"/>
      <c r="D108" t="str"/>
      <c r="E108" t="str"/>
      <c r="F108" t="str"/>
      <c r="G108" t="str"/>
      <c r="H108" t="str"/>
      <c r="I108" t="str"/>
      <c r="J108" t="str"/>
      <c r="K108" t="str"/>
      <c r="L108" t="str"/>
      <c r="M108" t="str"/>
      <c r="N108" t="str"/>
      <c r="O108" t="str"/>
      <c r="P108" t="str"/>
      <c r="Q108" t="str"/>
      <c r="R108" t="str"/>
    </row>
    <row r="109">
      <c r="A109" t="str">
        <v>last_assault_details</v>
      </c>
      <c r="B109" t="str">
        <v>09 Safety and support!C15</v>
      </c>
      <c r="C109" t="str"/>
      <c r="D109" t="str"/>
      <c r="E109" t="str"/>
      <c r="F109" t="str"/>
      <c r="G109" t="str"/>
      <c r="H109" t="str"/>
      <c r="I109" t="str"/>
      <c r="J109" t="str"/>
      <c r="K109" t="str"/>
      <c r="L109" t="str"/>
      <c r="M109" t="str"/>
      <c r="N109" t="str"/>
      <c r="O109" t="str"/>
      <c r="P109" t="str"/>
      <c r="Q109" t="str"/>
      <c r="R109" t="str"/>
    </row>
    <row r="110">
      <c r="A110" t="str">
        <v>assaults_last_two_years_count</v>
      </c>
      <c r="B110" t="str">
        <v>09 Safety and support!C16</v>
      </c>
      <c r="C110" t="str"/>
      <c r="D110" t="str"/>
      <c r="E110" t="str"/>
      <c r="F110" t="str"/>
      <c r="G110" t="str"/>
      <c r="H110" t="str"/>
      <c r="I110" t="str"/>
      <c r="J110" t="str"/>
      <c r="K110" t="str"/>
      <c r="L110" t="str"/>
      <c r="M110" t="str"/>
      <c r="N110" t="str"/>
      <c r="O110" t="str"/>
      <c r="P110" t="str"/>
      <c r="Q110" t="str"/>
      <c r="R110" t="str"/>
    </row>
    <row r="111">
      <c r="A111" t="str">
        <v>elopement_history</v>
      </c>
      <c r="B111" t="str">
        <v>09 Safety and support!C17</v>
      </c>
      <c r="C111" t="str"/>
      <c r="D111" t="str"/>
      <c r="E111" t="str"/>
      <c r="F111" t="str"/>
      <c r="G111" t="str"/>
      <c r="H111" t="str"/>
      <c r="I111" t="str"/>
      <c r="J111" t="str"/>
      <c r="K111" t="str"/>
      <c r="L111" t="str"/>
      <c r="M111" t="str"/>
      <c r="N111" t="str"/>
      <c r="O111" t="str"/>
      <c r="P111" t="str"/>
      <c r="Q111" t="str"/>
      <c r="R111" t="str"/>
    </row>
    <row r="112">
      <c r="A112" t="str">
        <v>elopement_risk</v>
      </c>
      <c r="B112" t="str">
        <v>09 Safety and support!C18</v>
      </c>
      <c r="C112" t="str"/>
      <c r="D112" t="str"/>
      <c r="E112" t="str"/>
      <c r="F112" t="str"/>
      <c r="G112" t="str"/>
      <c r="H112" t="str"/>
      <c r="I112" t="str"/>
      <c r="J112" t="str"/>
      <c r="K112" t="str"/>
      <c r="L112" t="str"/>
      <c r="M112" t="str"/>
      <c r="N112" t="str"/>
      <c r="O112" t="str"/>
      <c r="P112" t="str"/>
      <c r="Q112" t="str"/>
      <c r="R112" t="str"/>
    </row>
    <row r="113">
      <c r="A113" t="str">
        <v>si_hi_history</v>
      </c>
      <c r="B113" t="str">
        <v>09 Safety and support!C19</v>
      </c>
      <c r="C113" t="str"/>
      <c r="D113" t="str"/>
      <c r="E113" t="str"/>
      <c r="F113" t="str"/>
      <c r="G113" t="str"/>
      <c r="H113" t="str"/>
      <c r="I113" t="str"/>
      <c r="J113" t="str"/>
      <c r="K113" t="str"/>
      <c r="L113" t="str"/>
      <c r="M113" t="str"/>
      <c r="N113" t="str"/>
      <c r="O113" t="str"/>
      <c r="P113" t="str"/>
      <c r="Q113" t="str"/>
      <c r="R113" t="str"/>
    </row>
    <row r="114">
      <c r="A114" t="str">
        <v>triggers</v>
      </c>
      <c r="B114" t="str">
        <v>09 Safety and support!C20</v>
      </c>
      <c r="C114" t="str"/>
      <c r="D114" t="str"/>
      <c r="E114" t="str"/>
      <c r="F114" t="str"/>
      <c r="G114" t="str"/>
      <c r="H114" t="str"/>
      <c r="I114" t="str"/>
      <c r="J114" t="str"/>
      <c r="K114" t="str"/>
      <c r="L114" t="str"/>
      <c r="M114" t="str"/>
      <c r="N114" t="str"/>
      <c r="O114" t="str"/>
      <c r="P114" t="str"/>
      <c r="Q114" t="str"/>
      <c r="R114" t="str"/>
    </row>
    <row r="115">
      <c r="A115" t="str">
        <v>aggression_risk</v>
      </c>
      <c r="B115" t="str">
        <v>09 Safety and support!C21</v>
      </c>
      <c r="C115" t="str"/>
      <c r="D115" t="str"/>
      <c r="E115" t="str"/>
      <c r="F115" t="str"/>
      <c r="G115" t="str"/>
      <c r="H115" t="str"/>
      <c r="I115" t="str"/>
      <c r="J115" t="str"/>
      <c r="K115" t="str"/>
      <c r="L115" t="str"/>
      <c r="M115" t="str"/>
      <c r="N115" t="str"/>
      <c r="O115" t="str"/>
      <c r="P115" t="str"/>
      <c r="Q115" t="str"/>
      <c r="R115" t="str"/>
    </row>
    <row r="116">
      <c r="A116" t="str">
        <v>responds_to_internal_stimuli</v>
      </c>
      <c r="B116" t="str">
        <v>09 Safety and support!C22</v>
      </c>
      <c r="C116" t="str"/>
      <c r="D116" t="str"/>
      <c r="E116" t="str"/>
      <c r="F116" t="str"/>
      <c r="G116" t="str"/>
      <c r="H116" t="str"/>
      <c r="I116" t="str"/>
      <c r="J116" t="str"/>
      <c r="K116" t="str"/>
      <c r="L116" t="str"/>
      <c r="M116" t="str"/>
      <c r="N116" t="str"/>
      <c r="O116" t="str"/>
      <c r="P116" t="str"/>
      <c r="Q116" t="str"/>
      <c r="R116" t="str"/>
    </row>
    <row r="117">
      <c r="A117" t="str">
        <v>auditory_hallucinations</v>
      </c>
      <c r="B117" t="str">
        <v>09 Safety and support!C23</v>
      </c>
      <c r="C117" t="str"/>
      <c r="D117" t="str"/>
      <c r="E117" t="str"/>
      <c r="F117" t="str"/>
      <c r="G117" t="str"/>
      <c r="H117" t="str"/>
      <c r="I117" t="str"/>
      <c r="J117" t="str"/>
      <c r="K117" t="str"/>
      <c r="L117" t="str"/>
      <c r="M117" t="str"/>
      <c r="N117" t="str"/>
      <c r="O117" t="str"/>
      <c r="P117" t="str"/>
      <c r="Q117" t="str"/>
      <c r="R117" t="str"/>
    </row>
    <row r="118">
      <c r="A118" t="str">
        <v>auditory_hallucination_nature</v>
      </c>
      <c r="B118" t="str">
        <v>09 Safety and support!C24</v>
      </c>
      <c r="C118" t="str"/>
      <c r="D118" t="str"/>
      <c r="E118" t="str"/>
      <c r="F118" t="str"/>
      <c r="G118" t="str"/>
      <c r="H118" t="str"/>
      <c r="I118" t="str"/>
      <c r="J118" t="str"/>
      <c r="K118" t="str"/>
      <c r="L118" t="str"/>
      <c r="M118" t="str"/>
      <c r="N118" t="str"/>
      <c r="O118" t="str"/>
      <c r="P118" t="str"/>
      <c r="Q118" t="str"/>
      <c r="R118" t="str"/>
    </row>
    <row r="119">
      <c r="A119" t="str">
        <v>auditory_hallucination_frequency</v>
      </c>
      <c r="B119" t="str">
        <v>09 Safety and support!C25</v>
      </c>
      <c r="C119" t="str"/>
      <c r="D119" t="str"/>
      <c r="E119" t="str"/>
      <c r="F119" t="str"/>
      <c r="G119" t="str"/>
      <c r="H119" t="str"/>
      <c r="I119" t="str"/>
      <c r="J119" t="str"/>
      <c r="K119" t="str"/>
      <c r="L119" t="str"/>
      <c r="M119" t="str"/>
      <c r="N119" t="str"/>
      <c r="O119" t="str"/>
      <c r="P119" t="str"/>
      <c r="Q119" t="str"/>
      <c r="R119" t="str"/>
    </row>
    <row r="120">
      <c r="A120" t="str">
        <v>auditory_hallucination_triggers</v>
      </c>
      <c r="B120" t="str">
        <v>09 Safety and support!C26</v>
      </c>
      <c r="C120" t="str"/>
      <c r="D120" t="str"/>
      <c r="E120" t="str"/>
      <c r="F120" t="str"/>
      <c r="G120" t="str"/>
      <c r="H120" t="str"/>
      <c r="I120" t="str"/>
      <c r="J120" t="str"/>
      <c r="K120" t="str"/>
      <c r="L120" t="str"/>
      <c r="M120" t="str"/>
      <c r="N120" t="str"/>
      <c r="O120" t="str"/>
      <c r="P120" t="str"/>
      <c r="Q120" t="str"/>
      <c r="R120" t="str"/>
    </row>
    <row r="121">
      <c r="A121" t="str">
        <v>visual_hallucinations</v>
      </c>
      <c r="B121" t="str">
        <v>09 Safety and support!C27</v>
      </c>
      <c r="C121" t="str"/>
      <c r="D121" t="str"/>
      <c r="E121" t="str"/>
      <c r="F121" t="str"/>
      <c r="G121" t="str"/>
      <c r="H121" t="str"/>
      <c r="I121" t="str"/>
      <c r="J121" t="str"/>
      <c r="K121" t="str"/>
      <c r="L121" t="str"/>
      <c r="M121" t="str"/>
      <c r="N121" t="str"/>
      <c r="O121" t="str"/>
      <c r="P121" t="str"/>
      <c r="Q121" t="str"/>
      <c r="R121" t="str"/>
    </row>
    <row r="122">
      <c r="A122" t="str">
        <v>visual_hallucination_details</v>
      </c>
      <c r="B122" t="str">
        <v>09 Safety and support!C28</v>
      </c>
      <c r="C122" t="str"/>
      <c r="D122" t="str"/>
      <c r="E122" t="str"/>
      <c r="F122" t="str"/>
      <c r="G122" t="str"/>
      <c r="H122" t="str"/>
      <c r="I122" t="str"/>
      <c r="J122" t="str"/>
      <c r="K122" t="str"/>
      <c r="L122" t="str"/>
      <c r="M122" t="str"/>
      <c r="N122" t="str"/>
      <c r="O122" t="str"/>
      <c r="P122" t="str"/>
      <c r="Q122" t="str"/>
      <c r="R122" t="str"/>
    </row>
    <row r="123">
      <c r="A123" t="str">
        <v>visual_hallucination_recent</v>
      </c>
      <c r="B123" t="str">
        <v>09 Safety and support!C29</v>
      </c>
      <c r="C123" t="str"/>
      <c r="D123" t="str"/>
      <c r="E123" t="str"/>
      <c r="F123" t="str"/>
      <c r="G123" t="str"/>
      <c r="H123" t="str"/>
      <c r="I123" t="str"/>
      <c r="J123" t="str"/>
      <c r="K123" t="str"/>
      <c r="L123" t="str"/>
      <c r="M123" t="str"/>
      <c r="N123" t="str"/>
      <c r="O123" t="str"/>
      <c r="P123" t="str"/>
      <c r="Q123" t="str"/>
      <c r="R123" t="str"/>
    </row>
    <row r="124">
      <c r="A124" t="str">
        <v>olfactory_hallucinations</v>
      </c>
      <c r="B124" t="str">
        <v>09 Safety and support!C30</v>
      </c>
      <c r="C124" t="str"/>
      <c r="D124" t="str"/>
      <c r="E124" t="str"/>
      <c r="F124" t="str"/>
      <c r="G124" t="str"/>
      <c r="H124" t="str"/>
      <c r="I124" t="str"/>
      <c r="J124" t="str"/>
      <c r="K124" t="str"/>
      <c r="L124" t="str"/>
      <c r="M124" t="str"/>
      <c r="N124" t="str"/>
      <c r="O124" t="str"/>
      <c r="P124" t="str"/>
      <c r="Q124" t="str"/>
      <c r="R124" t="str"/>
    </row>
    <row r="125">
      <c r="A125" t="str">
        <v>olfactory_hallucination_details</v>
      </c>
      <c r="B125" t="str">
        <v>09 Safety and support!C31</v>
      </c>
      <c r="C125" t="str"/>
      <c r="D125" t="str"/>
      <c r="E125" t="str"/>
      <c r="F125" t="str"/>
      <c r="G125" t="str"/>
      <c r="H125" t="str"/>
      <c r="I125" t="str"/>
      <c r="J125" t="str"/>
      <c r="K125" t="str"/>
      <c r="L125" t="str"/>
      <c r="M125" t="str"/>
      <c r="N125" t="str"/>
      <c r="O125" t="str"/>
      <c r="P125" t="str"/>
      <c r="Q125" t="str"/>
      <c r="R125" t="str"/>
    </row>
    <row r="126">
      <c r="A126" t="str">
        <v>olfactory_hallucination_impact</v>
      </c>
      <c r="B126" t="str">
        <v>09 Safety and support!C32</v>
      </c>
      <c r="C126" t="str"/>
      <c r="D126" t="str"/>
      <c r="E126" t="str"/>
      <c r="F126" t="str"/>
      <c r="G126" t="str"/>
      <c r="H126" t="str"/>
      <c r="I126" t="str"/>
      <c r="J126" t="str"/>
      <c r="K126" t="str"/>
      <c r="L126" t="str"/>
      <c r="M126" t="str"/>
      <c r="N126" t="str"/>
      <c r="O126" t="str"/>
      <c r="P126" t="str"/>
      <c r="Q126" t="str"/>
      <c r="R126" t="str"/>
    </row>
    <row r="127">
      <c r="A127" t="str">
        <v>tactile_hallucinations</v>
      </c>
      <c r="B127" t="str">
        <v>09 Safety and support!C33</v>
      </c>
      <c r="C127" t="str"/>
      <c r="D127" t="str"/>
      <c r="E127" t="str"/>
      <c r="F127" t="str"/>
      <c r="G127" t="str"/>
      <c r="H127" t="str"/>
      <c r="I127" t="str"/>
      <c r="J127" t="str"/>
      <c r="K127" t="str"/>
      <c r="L127" t="str"/>
      <c r="M127" t="str"/>
      <c r="N127" t="str"/>
      <c r="O127" t="str"/>
      <c r="P127" t="str"/>
      <c r="Q127" t="str"/>
      <c r="R127" t="str"/>
    </row>
    <row r="128">
      <c r="A128" t="str">
        <v>tactile_hallucination_details</v>
      </c>
      <c r="B128" t="str">
        <v>09 Safety and support!C34</v>
      </c>
      <c r="C128" t="str"/>
      <c r="D128" t="str"/>
      <c r="E128" t="str"/>
      <c r="F128" t="str"/>
      <c r="G128" t="str"/>
      <c r="H128" t="str"/>
      <c r="I128" t="str"/>
      <c r="J128" t="str"/>
      <c r="K128" t="str"/>
      <c r="L128" t="str"/>
      <c r="M128" t="str"/>
      <c r="N128" t="str"/>
      <c r="O128" t="str"/>
      <c r="P128" t="str"/>
      <c r="Q128" t="str"/>
      <c r="R128" t="str"/>
    </row>
    <row r="129">
      <c r="A129" t="str">
        <v>tactile_hallucination_frequency</v>
      </c>
      <c r="B129" t="str">
        <v>09 Safety and support!C35</v>
      </c>
      <c r="C129" t="str"/>
      <c r="D129" t="str"/>
      <c r="E129" t="str"/>
      <c r="F129" t="str"/>
      <c r="G129" t="str"/>
      <c r="H129" t="str"/>
      <c r="I129" t="str"/>
      <c r="J129" t="str"/>
      <c r="K129" t="str"/>
      <c r="L129" t="str"/>
      <c r="M129" t="str"/>
      <c r="N129" t="str"/>
      <c r="O129" t="str"/>
      <c r="P129" t="str"/>
      <c r="Q129" t="str"/>
      <c r="R129" t="str"/>
    </row>
    <row r="130">
      <c r="A130" t="str">
        <v>gustatory_hallucinations</v>
      </c>
      <c r="B130" t="str">
        <v>09 Safety and support!C36</v>
      </c>
      <c r="C130" t="str"/>
      <c r="D130" t="str"/>
      <c r="E130" t="str"/>
      <c r="F130" t="str"/>
      <c r="G130" t="str"/>
      <c r="H130" t="str"/>
      <c r="I130" t="str"/>
      <c r="J130" t="str"/>
      <c r="K130" t="str"/>
      <c r="L130" t="str"/>
      <c r="M130" t="str"/>
      <c r="N130" t="str"/>
      <c r="O130" t="str"/>
      <c r="P130" t="str"/>
      <c r="Q130" t="str"/>
      <c r="R130" t="str"/>
    </row>
    <row r="131">
      <c r="A131" t="str">
        <v>gustatory_hallucination_details</v>
      </c>
      <c r="B131" t="str">
        <v>09 Safety and support!C37</v>
      </c>
      <c r="C131" t="str"/>
      <c r="D131" t="str"/>
      <c r="E131" t="str"/>
      <c r="F131" t="str"/>
      <c r="G131" t="str"/>
      <c r="H131" t="str"/>
      <c r="I131" t="str"/>
      <c r="J131" t="str"/>
      <c r="K131" t="str"/>
      <c r="L131" t="str"/>
      <c r="M131" t="str"/>
      <c r="N131" t="str"/>
      <c r="O131" t="str"/>
      <c r="P131" t="str"/>
      <c r="Q131" t="str"/>
      <c r="R131" t="str"/>
    </row>
    <row r="132">
      <c r="A132" t="str">
        <v>hallucination_coping_strategies</v>
      </c>
      <c r="B132" t="str">
        <v>09 Safety and support!C38</v>
      </c>
      <c r="C132" t="str"/>
      <c r="D132" t="str"/>
      <c r="E132" t="str"/>
      <c r="F132" t="str"/>
      <c r="G132" t="str"/>
      <c r="H132" t="str"/>
      <c r="I132" t="str"/>
      <c r="J132" t="str"/>
      <c r="K132" t="str"/>
      <c r="L132" t="str"/>
      <c r="M132" t="str"/>
      <c r="N132" t="str"/>
      <c r="O132" t="str"/>
      <c r="P132" t="str"/>
      <c r="Q132" t="str"/>
      <c r="R132" t="str"/>
    </row>
    <row r="133">
      <c r="A133" t="str">
        <v>hallucination_distress_impairment</v>
      </c>
      <c r="B133" t="str">
        <v>09 Safety and support!C39</v>
      </c>
      <c r="C133" t="str"/>
      <c r="D133" t="str"/>
      <c r="E133" t="str"/>
      <c r="F133" t="str"/>
      <c r="G133" t="str"/>
      <c r="H133" t="str"/>
      <c r="I133" t="str"/>
      <c r="J133" t="str"/>
      <c r="K133" t="str"/>
      <c r="L133" t="str"/>
      <c r="M133" t="str"/>
      <c r="N133" t="str"/>
      <c r="O133" t="str"/>
      <c r="P133" t="str"/>
      <c r="Q133" t="str"/>
      <c r="R133" t="str"/>
    </row>
    <row r="134">
      <c r="A134" t="str">
        <v>hallucination_functional_impact</v>
      </c>
      <c r="B134" t="str">
        <v>09 Safety and support!C40</v>
      </c>
      <c r="C134" t="str"/>
      <c r="D134" t="str"/>
      <c r="E134" t="str"/>
      <c r="F134" t="str"/>
      <c r="G134" t="str"/>
      <c r="H134" t="str"/>
      <c r="I134" t="str"/>
      <c r="J134" t="str"/>
      <c r="K134" t="str"/>
      <c r="L134" t="str"/>
      <c r="M134" t="str"/>
      <c r="N134" t="str"/>
      <c r="O134" t="str"/>
      <c r="P134" t="str"/>
      <c r="Q134" t="str"/>
      <c r="R134" t="str"/>
    </row>
    <row r="135">
      <c r="A135" t="str">
        <v>hallucination_treatment_history</v>
      </c>
      <c r="B135" t="str">
        <v>09 Safety and support!C41</v>
      </c>
      <c r="C135" t="str"/>
      <c r="D135" t="str"/>
      <c r="E135" t="str"/>
      <c r="F135" t="str"/>
      <c r="G135" t="str"/>
      <c r="H135" t="str"/>
      <c r="I135" t="str"/>
      <c r="J135" t="str"/>
      <c r="K135" t="str"/>
      <c r="L135" t="str"/>
      <c r="M135" t="str"/>
      <c r="N135" t="str"/>
      <c r="O135" t="str"/>
      <c r="P135" t="str"/>
      <c r="Q135" t="str"/>
      <c r="R135" t="str"/>
    </row>
    <row r="136">
      <c r="A136" t="str">
        <v>conservatorship_type</v>
      </c>
      <c r="B136" t="str">
        <v>10 Decisions and legal support!C6</v>
      </c>
      <c r="C136" t="str"/>
      <c r="D136" t="str"/>
      <c r="E136" t="str"/>
      <c r="F136" t="str"/>
      <c r="G136" t="str"/>
      <c r="H136" t="str"/>
      <c r="I136" t="str"/>
      <c r="J136" t="str"/>
      <c r="K136" t="str"/>
      <c r="L136" t="str"/>
      <c r="M136" t="str"/>
      <c r="N136" t="str"/>
      <c r="O136" t="str"/>
      <c r="P136" t="str"/>
      <c r="Q136" t="str"/>
      <c r="R136" t="str"/>
    </row>
    <row r="137">
      <c r="A137" t="str">
        <v>conservator_name</v>
      </c>
      <c r="B137" t="str">
        <v>10 Decisions and legal support!C7</v>
      </c>
      <c r="C137" t="str"/>
      <c r="D137" t="str"/>
      <c r="E137" t="str"/>
      <c r="F137" t="str"/>
      <c r="G137" t="str"/>
      <c r="H137" t="str"/>
      <c r="I137" t="str"/>
      <c r="J137" t="str"/>
      <c r="K137" t="str"/>
      <c r="L137" t="str"/>
      <c r="M137" t="str"/>
      <c r="N137" t="str"/>
      <c r="O137" t="str"/>
      <c r="P137" t="str"/>
      <c r="Q137" t="str"/>
      <c r="R137" t="str"/>
    </row>
    <row r="138">
      <c r="A138" t="str">
        <v>conservatorship_status</v>
      </c>
      <c r="B138" t="str">
        <v>10 Decisions and legal support!C8</v>
      </c>
      <c r="C138" t="str"/>
      <c r="D138" t="str"/>
      <c r="E138" t="str"/>
      <c r="F138" t="str"/>
      <c r="G138" t="str"/>
      <c r="H138" t="str"/>
      <c r="I138" t="str"/>
      <c r="J138" t="str"/>
      <c r="K138" t="str"/>
      <c r="L138" t="str"/>
      <c r="M138" t="str"/>
      <c r="N138" t="str"/>
      <c r="O138" t="str"/>
      <c r="P138" t="str"/>
      <c r="Q138" t="str"/>
      <c r="R138" t="str"/>
    </row>
    <row r="139">
      <c r="A139" t="str">
        <v>hold_type</v>
      </c>
      <c r="B139" t="str">
        <v>10 Decisions and legal support!C9</v>
      </c>
      <c r="C139" t="str"/>
      <c r="D139" t="str"/>
      <c r="E139" t="str"/>
      <c r="F139" t="str"/>
      <c r="G139" t="str"/>
      <c r="H139" t="str"/>
      <c r="I139" t="str"/>
      <c r="J139" t="str"/>
      <c r="K139" t="str"/>
      <c r="L139" t="str"/>
      <c r="M139" t="str"/>
      <c r="N139" t="str"/>
      <c r="O139" t="str"/>
      <c r="P139" t="str"/>
      <c r="Q139" t="str"/>
      <c r="R139" t="str"/>
    </row>
    <row r="140">
      <c r="A140" t="str">
        <v>forensic_history</v>
      </c>
      <c r="B140" t="str">
        <v>10 Decisions and legal support!C10</v>
      </c>
      <c r="C140" t="str"/>
      <c r="D140" t="str"/>
      <c r="E140" t="str"/>
      <c r="F140" t="str"/>
      <c r="G140" t="str"/>
      <c r="H140" t="str"/>
      <c r="I140" t="str"/>
      <c r="J140" t="str"/>
      <c r="K140" t="str"/>
      <c r="L140" t="str"/>
      <c r="M140" t="str"/>
      <c r="N140" t="str"/>
      <c r="O140" t="str"/>
      <c r="P140" t="str"/>
      <c r="Q140" t="str"/>
      <c r="R140" t="str"/>
    </row>
    <row r="141">
      <c r="A141" t="str">
        <v>pc290_registration</v>
      </c>
      <c r="B141" t="str">
        <v>10 Decisions and legal support!C11</v>
      </c>
      <c r="C141" t="str"/>
      <c r="D141" t="str"/>
      <c r="E141" t="str"/>
      <c r="F141" t="str"/>
      <c r="G141" t="str"/>
      <c r="H141" t="str"/>
      <c r="I141" t="str"/>
      <c r="J141" t="str"/>
      <c r="K141" t="str"/>
      <c r="L141" t="str"/>
      <c r="M141" t="str"/>
      <c r="N141" t="str"/>
      <c r="O141" t="str"/>
      <c r="P141" t="str"/>
      <c r="Q141" t="str"/>
      <c r="R141" t="str"/>
    </row>
    <row r="142">
      <c r="A142" t="str">
        <v>arson_history</v>
      </c>
      <c r="B142" t="str">
        <v>10 Decisions and legal support!C12</v>
      </c>
      <c r="C142" t="str"/>
      <c r="D142" t="str"/>
      <c r="E142" t="str"/>
      <c r="F142" t="str"/>
      <c r="G142" t="str"/>
      <c r="H142" t="str"/>
      <c r="I142" t="str"/>
      <c r="J142" t="str"/>
      <c r="K142" t="str"/>
      <c r="L142" t="str"/>
      <c r="M142" t="str"/>
      <c r="N142" t="str"/>
      <c r="O142" t="str"/>
      <c r="P142" t="str"/>
      <c r="Q142" t="str"/>
      <c r="R142" t="str"/>
    </row>
    <row r="143">
      <c r="A143" t="str">
        <v>diversion_client</v>
      </c>
      <c r="B143" t="str">
        <v>10 Decisions and legal support!C13</v>
      </c>
      <c r="C143" t="str"/>
      <c r="D143" t="str"/>
      <c r="E143" t="str"/>
      <c r="F143" t="str"/>
      <c r="G143" t="str"/>
      <c r="H143" t="str"/>
      <c r="I143" t="str"/>
      <c r="J143" t="str"/>
      <c r="K143" t="str"/>
      <c r="L143" t="str"/>
      <c r="M143" t="str"/>
      <c r="N143" t="str"/>
      <c r="O143" t="str"/>
      <c r="P143" t="str"/>
      <c r="Q143" t="str"/>
      <c r="R143" t="str"/>
    </row>
    <row r="144">
      <c r="A144" t="str">
        <v>court_requirements</v>
      </c>
      <c r="B144" t="str">
        <v>10 Decisions and legal support!C14</v>
      </c>
      <c r="C144" t="str"/>
      <c r="D144" t="str"/>
      <c r="E144" t="str"/>
      <c r="F144" t="str"/>
      <c r="G144" t="str"/>
      <c r="H144" t="str"/>
      <c r="I144" t="str"/>
      <c r="J144" t="str"/>
      <c r="K144" t="str"/>
      <c r="L144" t="str"/>
      <c r="M144" t="str"/>
      <c r="N144" t="str"/>
      <c r="O144" t="str"/>
      <c r="P144" t="str"/>
      <c r="Q144" t="str"/>
      <c r="R144" t="str"/>
    </row>
    <row r="145">
      <c r="A145" t="str">
        <v>court_dates</v>
      </c>
      <c r="B145" t="str">
        <v>10 Decisions and legal support!C15</v>
      </c>
      <c r="C145" t="str"/>
      <c r="D145" t="str"/>
      <c r="E145" t="str"/>
      <c r="F145" t="str"/>
      <c r="G145" t="str"/>
      <c r="H145" t="str"/>
      <c r="I145" t="str"/>
      <c r="J145" t="str"/>
      <c r="K145" t="str"/>
      <c r="L145" t="str"/>
      <c r="M145" t="str"/>
      <c r="N145" t="str"/>
      <c r="O145" t="str"/>
      <c r="P145" t="str"/>
      <c r="Q145" t="str"/>
      <c r="R145" t="str"/>
    </row>
    <row r="146">
      <c r="A146" t="str">
        <v>probation_parole_justice</v>
      </c>
      <c r="B146" t="str">
        <v>10 Decisions and legal support!C16</v>
      </c>
      <c r="C146" t="str"/>
      <c r="D146" t="str"/>
      <c r="E146" t="str"/>
      <c r="F146" t="str"/>
      <c r="G146" t="str"/>
      <c r="H146" t="str"/>
      <c r="I146" t="str"/>
      <c r="J146" t="str"/>
      <c r="K146" t="str"/>
      <c r="L146" t="str"/>
      <c r="M146" t="str"/>
      <c r="N146" t="str"/>
      <c r="O146" t="str"/>
      <c r="P146" t="str"/>
      <c r="Q146" t="str"/>
      <c r="R146" t="str"/>
    </row>
    <row r="147">
      <c r="A147" t="str">
        <v>forensic_involvement</v>
      </c>
      <c r="B147" t="str">
        <v>10 Decisions and legal support!C17</v>
      </c>
      <c r="C147" t="str"/>
      <c r="D147" t="str"/>
      <c r="E147" t="str"/>
      <c r="F147" t="str"/>
      <c r="G147" t="str"/>
      <c r="H147" t="str"/>
      <c r="I147" t="str"/>
      <c r="J147" t="str"/>
      <c r="K147" t="str"/>
      <c r="L147" t="str"/>
      <c r="M147" t="str"/>
      <c r="N147" t="str"/>
      <c r="O147" t="str"/>
      <c r="P147" t="str"/>
      <c r="Q147" t="str"/>
      <c r="R147" t="str"/>
    </row>
    <row r="148">
      <c r="A148" t="str">
        <v>forensic_involvement_details</v>
      </c>
      <c r="B148" t="str">
        <v>10 Decisions and legal support!C18</v>
      </c>
      <c r="C148" t="str"/>
      <c r="D148" t="str"/>
      <c r="E148" t="str"/>
      <c r="F148" t="str"/>
      <c r="G148" t="str"/>
      <c r="H148" t="str"/>
      <c r="I148" t="str"/>
      <c r="J148" t="str"/>
      <c r="K148" t="str"/>
      <c r="L148" t="str"/>
      <c r="M148" t="str"/>
      <c r="N148" t="str"/>
      <c r="O148" t="str"/>
      <c r="P148" t="str"/>
      <c r="Q148" t="str"/>
      <c r="R148" t="str"/>
    </row>
    <row r="149">
      <c r="A149" t="str">
        <v>forensic_timeline</v>
      </c>
      <c r="B149" t="str">
        <v>10 Decisions and legal support!C19</v>
      </c>
      <c r="C149" t="str"/>
      <c r="D149" t="str"/>
      <c r="E149" t="str"/>
      <c r="F149" t="str"/>
      <c r="G149" t="str"/>
      <c r="H149" t="str"/>
      <c r="I149" t="str"/>
      <c r="J149" t="str"/>
      <c r="K149" t="str"/>
      <c r="L149" t="str"/>
      <c r="M149" t="str"/>
      <c r="N149" t="str"/>
      <c r="O149" t="str"/>
      <c r="P149" t="str"/>
      <c r="Q149" t="str"/>
      <c r="R149" t="str"/>
    </row>
    <row r="150">
      <c r="A150" t="str">
        <v>arrest_history</v>
      </c>
      <c r="B150" t="str">
        <v>10 Decisions and legal support!C33</v>
      </c>
      <c r="C150" t="str"/>
      <c r="D150" t="str"/>
      <c r="E150" t="str"/>
      <c r="F150" t="str"/>
      <c r="G150" t="str"/>
      <c r="H150" t="str"/>
      <c r="I150" t="str"/>
      <c r="J150" t="str"/>
      <c r="K150" t="str"/>
      <c r="L150" t="str"/>
      <c r="M150" t="str"/>
      <c r="N150" t="str"/>
      <c r="O150" t="str"/>
      <c r="P150" t="str"/>
      <c r="Q150" t="str"/>
      <c r="R150" t="str"/>
    </row>
    <row r="151">
      <c r="A151" t="str">
        <v>most_recent_arrest_date</v>
      </c>
      <c r="B151" t="str">
        <v>10 Decisions and legal support!C34</v>
      </c>
      <c r="C151" t="str"/>
      <c r="D151" t="str"/>
      <c r="E151" t="str"/>
      <c r="F151" t="str"/>
      <c r="G151" t="str"/>
      <c r="H151" t="str"/>
      <c r="I151" t="str"/>
      <c r="J151" t="str"/>
      <c r="K151" t="str"/>
      <c r="L151" t="str"/>
      <c r="M151" t="str"/>
      <c r="N151" t="str"/>
      <c r="O151" t="str"/>
      <c r="P151" t="str"/>
      <c r="Q151" t="str"/>
      <c r="R151" t="str"/>
    </row>
    <row r="152">
      <c r="A152" t="str">
        <v>most_recent_arrest_charge</v>
      </c>
      <c r="B152" t="str">
        <v>10 Decisions and legal support!C35</v>
      </c>
      <c r="C152" t="str"/>
      <c r="D152" t="str"/>
      <c r="E152" t="str"/>
      <c r="F152" t="str"/>
      <c r="G152" t="str"/>
      <c r="H152" t="str"/>
      <c r="I152" t="str"/>
      <c r="J152" t="str"/>
      <c r="K152" t="str"/>
      <c r="L152" t="str"/>
      <c r="M152" t="str"/>
      <c r="N152" t="str"/>
      <c r="O152" t="str"/>
      <c r="P152" t="str"/>
      <c r="Q152" t="str"/>
      <c r="R152" t="str"/>
    </row>
    <row r="153">
      <c r="A153" t="str">
        <v>most_recent_arrest_jail_time</v>
      </c>
      <c r="B153" t="str">
        <v>10 Decisions and legal support!C36</v>
      </c>
      <c r="C153" t="str"/>
      <c r="D153" t="str"/>
      <c r="E153" t="str"/>
      <c r="F153" t="str"/>
      <c r="G153" t="str"/>
      <c r="H153" t="str"/>
      <c r="I153" t="str"/>
      <c r="J153" t="str"/>
      <c r="K153" t="str"/>
      <c r="L153" t="str"/>
      <c r="M153" t="str"/>
      <c r="N153" t="str"/>
      <c r="O153" t="str"/>
      <c r="P153" t="str"/>
      <c r="Q153" t="str"/>
      <c r="R153" t="str"/>
    </row>
    <row r="154">
      <c r="A154" t="str">
        <v>arrest_in_last_two_years</v>
      </c>
      <c r="B154" t="str">
        <v>10 Decisions and legal support!C37</v>
      </c>
      <c r="C154" t="str"/>
      <c r="D154" t="str"/>
      <c r="E154" t="str"/>
      <c r="F154" t="str"/>
      <c r="G154" t="str"/>
      <c r="H154" t="str"/>
      <c r="I154" t="str"/>
      <c r="J154" t="str"/>
      <c r="K154" t="str"/>
      <c r="L154" t="str"/>
      <c r="M154" t="str"/>
      <c r="N154" t="str"/>
      <c r="O154" t="str"/>
      <c r="P154" t="str"/>
      <c r="Q154" t="str"/>
      <c r="R154" t="str"/>
    </row>
    <row r="155">
      <c r="A155" t="str">
        <v>arrest_last_two_years_details</v>
      </c>
      <c r="B155" t="str">
        <v>10 Decisions and legal support!C38</v>
      </c>
      <c r="C155" t="str"/>
      <c r="D155" t="str"/>
      <c r="E155" t="str"/>
      <c r="F155" t="str"/>
      <c r="G155" t="str"/>
      <c r="H155" t="str"/>
      <c r="I155" t="str"/>
      <c r="J155" t="str"/>
      <c r="K155" t="str"/>
      <c r="L155" t="str"/>
      <c r="M155" t="str"/>
      <c r="N155" t="str"/>
      <c r="O155" t="str"/>
      <c r="P155" t="str"/>
      <c r="Q155" t="str"/>
      <c r="R155" t="str"/>
    </row>
    <row r="156">
      <c r="A156" t="str">
        <v>total_arrests</v>
      </c>
      <c r="B156" t="str">
        <v>10 Decisions and legal support!C39</v>
      </c>
      <c r="C156" t="str"/>
      <c r="D156" t="str"/>
      <c r="E156" t="str"/>
      <c r="F156" t="str"/>
      <c r="G156" t="str"/>
      <c r="H156" t="str"/>
      <c r="I156" t="str"/>
      <c r="J156" t="str"/>
      <c r="K156" t="str"/>
      <c r="L156" t="str"/>
      <c r="M156" t="str"/>
      <c r="N156" t="str"/>
      <c r="O156" t="str"/>
      <c r="P156" t="str"/>
      <c r="Q156" t="str"/>
      <c r="R156" t="str"/>
    </row>
    <row r="157">
      <c r="A157" t="str">
        <v>family_involvement</v>
      </c>
      <c r="B157" t="str">
        <v>11 What matters next!C6</v>
      </c>
      <c r="C157" t="str"/>
      <c r="D157" t="str"/>
      <c r="E157" t="str"/>
      <c r="F157" t="str"/>
      <c r="G157" t="str"/>
      <c r="H157" t="str"/>
      <c r="I157" t="str"/>
      <c r="J157" t="str"/>
      <c r="K157" t="str"/>
      <c r="L157" t="str"/>
      <c r="M157" t="str"/>
      <c r="N157" t="str"/>
      <c r="O157" t="str"/>
      <c r="P157" t="str"/>
      <c r="Q157" t="str"/>
      <c r="R157" t="str"/>
    </row>
    <row r="158">
      <c r="A158" t="str">
        <v>friendships_social_connections</v>
      </c>
      <c r="B158" t="str">
        <v>11 What matters next!C7</v>
      </c>
      <c r="C158" t="str"/>
      <c r="D158" t="str"/>
      <c r="E158" t="str"/>
      <c r="F158" t="str"/>
      <c r="G158" t="str"/>
      <c r="H158" t="str"/>
      <c r="I158" t="str"/>
      <c r="J158" t="str"/>
      <c r="K158" t="str"/>
      <c r="L158" t="str"/>
      <c r="M158" t="str"/>
      <c r="N158" t="str"/>
      <c r="O158" t="str"/>
      <c r="P158" t="str"/>
      <c r="Q158" t="str"/>
      <c r="R158" t="str"/>
    </row>
    <row r="159">
      <c r="A159" t="str">
        <v>prior_living_situation</v>
      </c>
      <c r="B159" t="str">
        <v>11 What matters next!C8</v>
      </c>
      <c r="C159" t="str"/>
      <c r="D159" t="str"/>
      <c r="E159" t="str"/>
      <c r="F159" t="str"/>
      <c r="G159" t="str"/>
      <c r="H159" t="str"/>
      <c r="I159" t="str"/>
      <c r="J159" t="str"/>
      <c r="K159" t="str"/>
      <c r="L159" t="str"/>
      <c r="M159" t="str"/>
      <c r="N159" t="str"/>
      <c r="O159" t="str"/>
      <c r="P159" t="str"/>
      <c r="Q159" t="str"/>
      <c r="R159" t="str"/>
    </row>
    <row r="160">
      <c r="A160" t="str">
        <v>housing_history</v>
      </c>
      <c r="B160" t="str">
        <v>11 What matters next!C9</v>
      </c>
      <c r="C160" t="str"/>
      <c r="D160" t="str"/>
      <c r="E160" t="str"/>
      <c r="F160" t="str"/>
      <c r="G160" t="str"/>
      <c r="H160" t="str"/>
      <c r="I160" t="str"/>
      <c r="J160" t="str"/>
      <c r="K160" t="str"/>
      <c r="L160" t="str"/>
      <c r="M160" t="str"/>
      <c r="N160" t="str"/>
      <c r="O160" t="str"/>
      <c r="P160" t="str"/>
      <c r="Q160" t="str"/>
      <c r="R160" t="str"/>
    </row>
    <row r="161">
      <c r="A161" t="str">
        <v>benefits_income_status</v>
      </c>
      <c r="B161" t="str">
        <v>11 What matters next!C10</v>
      </c>
      <c r="C161" t="str"/>
      <c r="D161" t="str"/>
      <c r="E161" t="str"/>
      <c r="F161" t="str"/>
      <c r="G161" t="str"/>
      <c r="H161" t="str"/>
      <c r="I161" t="str"/>
      <c r="J161" t="str"/>
      <c r="K161" t="str"/>
      <c r="L161" t="str"/>
      <c r="M161" t="str"/>
      <c r="N161" t="str"/>
      <c r="O161" t="str"/>
      <c r="P161" t="str"/>
      <c r="Q161" t="str"/>
      <c r="R161" t="str"/>
    </row>
    <row r="162">
      <c r="A162" t="str">
        <v>discharge_planning_goals</v>
      </c>
      <c r="B162" t="str">
        <v>11 What matters next!C11</v>
      </c>
      <c r="C162" t="str"/>
      <c r="D162" t="str"/>
      <c r="E162" t="str"/>
      <c r="F162" t="str"/>
      <c r="G162" t="str"/>
      <c r="H162" t="str"/>
      <c r="I162" t="str"/>
      <c r="J162" t="str"/>
      <c r="K162" t="str"/>
      <c r="L162" t="str"/>
      <c r="M162" t="str"/>
      <c r="N162" t="str"/>
      <c r="O162" t="str"/>
      <c r="P162" t="str"/>
      <c r="Q162" t="str"/>
      <c r="R162" t="str"/>
    </row>
    <row r="163">
      <c r="A163" t="str">
        <v>placement_preferences_concerns</v>
      </c>
      <c r="B163" t="str">
        <v>11 What matters next!C12</v>
      </c>
      <c r="C163" t="str"/>
      <c r="D163" t="str"/>
      <c r="E163" t="str"/>
      <c r="F163" t="str"/>
      <c r="G163" t="str"/>
      <c r="H163" t="str"/>
      <c r="I163" t="str"/>
      <c r="J163" t="str"/>
      <c r="K163" t="str"/>
      <c r="L163" t="str"/>
      <c r="M163" t="str"/>
      <c r="N163" t="str"/>
      <c r="O163" t="str"/>
      <c r="P163" t="str"/>
      <c r="Q163" t="str"/>
      <c r="R163" t="str"/>
    </row>
    <row r="164">
      <c r="A164" t="str">
        <v>preferred_facility_characteristics</v>
      </c>
      <c r="B164" t="str">
        <v>11 What matters next!C13</v>
      </c>
      <c r="C164" t="str"/>
      <c r="D164" t="str"/>
      <c r="E164" t="str"/>
      <c r="F164" t="str"/>
      <c r="G164" t="str"/>
      <c r="H164" t="str"/>
      <c r="I164" t="str"/>
      <c r="J164" t="str"/>
      <c r="K164" t="str"/>
      <c r="L164" t="str"/>
      <c r="M164" t="str"/>
      <c r="N164" t="str"/>
      <c r="O164" t="str"/>
      <c r="P164" t="str"/>
      <c r="Q164" t="str"/>
      <c r="R164" t="str"/>
    </row>
    <row r="165">
      <c r="A165" t="str">
        <v>additional_information</v>
      </c>
      <c r="B165" t="str">
        <v>12 Anything else!C6</v>
      </c>
      <c r="C165" t="str"/>
      <c r="D165" t="str"/>
      <c r="E165" t="str"/>
      <c r="F165" t="str"/>
      <c r="G165" t="str"/>
      <c r="H165" t="str"/>
      <c r="I165" t="str"/>
      <c r="J165" t="str"/>
      <c r="K165" t="str"/>
      <c r="L165" t="str"/>
      <c r="M165" t="str"/>
      <c r="N165" t="str"/>
      <c r="O165" t="str"/>
      <c r="P165" t="str"/>
      <c r="Q165" t="str"/>
      <c r="R165" t="str"/>
    </row>
    <row r="166">
      <c r="A166" t="str">
        <v>placement_process_questions</v>
      </c>
      <c r="B166" t="str">
        <v>12 Anything else!C7</v>
      </c>
      <c r="C166" t="str"/>
      <c r="D166" t="str"/>
      <c r="E166" t="str"/>
      <c r="F166" t="str"/>
      <c r="G166" t="str"/>
      <c r="H166" t="str"/>
      <c r="I166" t="str"/>
      <c r="J166" t="str"/>
      <c r="K166" t="str"/>
      <c r="L166" t="str"/>
      <c r="M166" t="str"/>
      <c r="N166" t="str"/>
      <c r="O166" t="str"/>
      <c r="P166" t="str"/>
      <c r="Q166" t="str"/>
      <c r="R166" t="str"/>
    </row>
    <row r="167">
      <c r="A167" t="str">
        <v>unable_to_assess_reasons</v>
      </c>
      <c r="B167" t="str">
        <v>12 Anything else!C8</v>
      </c>
      <c r="C167" t="str"/>
      <c r="D167" t="str"/>
      <c r="E167" t="str"/>
      <c r="F167" t="str"/>
      <c r="G167" t="str"/>
      <c r="H167" t="str"/>
      <c r="I167" t="str"/>
      <c r="J167" t="str"/>
      <c r="K167" t="str"/>
      <c r="L167" t="str"/>
      <c r="M167" t="str"/>
      <c r="N167" t="str"/>
      <c r="O167" t="str"/>
      <c r="P167" t="str"/>
      <c r="Q167" t="str"/>
      <c r="R167" t="str"/>
    </row>
    <row r="168">
      <c r="A168" t="str">
        <v>source_file</v>
      </c>
      <c r="B168" t="str">
        <v>12 Anything else!C9</v>
      </c>
      <c r="C168" t="str"/>
      <c r="D168" t="str"/>
      <c r="E168" t="str"/>
      <c r="F168" t="str"/>
      <c r="G168" t="str"/>
      <c r="H168" t="str"/>
      <c r="I168" t="str"/>
      <c r="J168" t="str"/>
      <c r="K168" t="str"/>
      <c r="L168" t="str"/>
      <c r="M168" t="str"/>
      <c r="N168" t="str"/>
      <c r="O168" t="str"/>
      <c r="P168" t="str"/>
      <c r="Q168" t="str"/>
      <c r="R168" t="str"/>
    </row>
    <row r="169">
      <c r="A169" t="str">
        <v>match_confidence</v>
      </c>
      <c r="B169" t="str">
        <v>12 Anything else!C10</v>
      </c>
      <c r="C169" t="str"/>
      <c r="D169" t="str"/>
      <c r="E169" t="str"/>
      <c r="F169" t="str"/>
      <c r="G169" t="str"/>
      <c r="H169" t="str"/>
      <c r="I169" t="str"/>
      <c r="J169" t="str"/>
      <c r="K169" t="str"/>
      <c r="L169" t="str"/>
      <c r="M169" t="str"/>
      <c r="N169" t="str"/>
      <c r="O169" t="str"/>
      <c r="P169" t="str"/>
      <c r="Q169" t="str"/>
      <c r="R169" t="str"/>
    </row>
    <row r="170">
      <c r="A170" t="str">
        <v>assessment_notes</v>
      </c>
      <c r="B170" t="str">
        <v>12 Anything else!C11</v>
      </c>
      <c r="C170" t="str"/>
      <c r="D170" t="str"/>
      <c r="E170" t="str"/>
      <c r="F170" t="str"/>
      <c r="G170" t="str"/>
      <c r="H170" t="str"/>
      <c r="I170" t="str"/>
      <c r="J170" t="str"/>
      <c r="K170" t="str"/>
      <c r="L170" t="str"/>
      <c r="M170" t="str"/>
      <c r="N170" t="str"/>
      <c r="O170" t="str"/>
      <c r="P170" t="str"/>
      <c r="Q170" t="str"/>
      <c r="R170" t="str"/>
    </row>
    <row r="171">
      <c r="A171" t="str">
        <v>extraction_date</v>
      </c>
      <c r="B171" t="str">
        <v>12 Anything else!C13</v>
      </c>
      <c r="C171" t="str"/>
      <c r="D171" t="str"/>
      <c r="E171" t="str"/>
      <c r="F171" t="str"/>
      <c r="G171" t="str"/>
      <c r="H171" t="str"/>
      <c r="I171" t="str"/>
      <c r="J171" t="str"/>
      <c r="K171" t="str"/>
      <c r="L171" t="str"/>
      <c r="M171" t="str"/>
      <c r="N171" t="str"/>
      <c r="O171" t="str"/>
      <c r="P171" t="str"/>
      <c r="Q171" t="str"/>
      <c r="R171" t="str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12644F"/>
  </sheetPr>
  <sheetViews>
    <sheetView showGridLines="0" workbookViewId="0"/>
  </sheetViews>
  <sheetFormatPr defaultRowHeight="15"/>
  <cols>
    <col min="1" max="1" width="3" hidden="0" customWidth="1"/>
    <col min="2" max="2" width="34" hidden="0" customWidth="1"/>
    <col min="3" max="3" width="49" hidden="0" customWidth="1"/>
    <col min="4" max="4" width="35" hidden="0" customWidth="1"/>
    <col min="5" max="5" width="19" hidden="0" customWidth="1"/>
  </cols>
  <sheetData>
    <row r="1" ht="30" customHeight="1">
      <c r="A1" s="3"/>
      <c r="B1" s="4" t="str">
        <v>Answer reference</v>
      </c>
      <c r="C1" s="4"/>
      <c r="D1" s="4"/>
      <c r="E1" s="4"/>
    </row>
    <row r="2" ht="24" customHeight="1">
      <c r="A2" s="3"/>
      <c r="B2" s="3"/>
      <c r="C2" s="3"/>
      <c r="D2" s="3"/>
      <c r="E2" s="3"/>
    </row>
    <row r="3" ht="25" customHeight="1">
      <c r="A3" s="3"/>
      <c r="B3" s="8" t="str">
        <v>Question</v>
      </c>
      <c r="C3" s="8" t="str">
        <v>What to enter</v>
      </c>
      <c r="D3" s="8" t="str">
        <v>Section</v>
      </c>
      <c r="E3" s="3"/>
    </row>
    <row r="4">
      <c r="A4" s="3"/>
      <c r="B4" s="3"/>
      <c r="C4" s="3"/>
      <c r="D4" s="3"/>
      <c r="E4" s="3"/>
    </row>
    <row r="5" ht="34" customHeight="1">
      <c r="A5" s="3"/>
      <c r="B5" s="29" t="str">
        <v>Resident name</v>
      </c>
      <c r="C5" s="29" t="str">
        <v>Text or notes</v>
      </c>
      <c r="D5" s="29" t="str">
        <v>01 Confirm the basics</v>
      </c>
      <c r="E5" s="3"/>
    </row>
    <row r="6" ht="34" customHeight="1">
      <c r="A6" s="3"/>
      <c r="B6" s="29" t="str">
        <v>Date of birth</v>
      </c>
      <c r="C6" s="29" t="str">
        <v>Date (YYYY-MM-DD)</v>
      </c>
      <c r="D6" s="29" t="str">
        <v>01 Confirm the basics</v>
      </c>
      <c r="E6" s="3"/>
    </row>
    <row r="7" ht="34" customHeight="1">
      <c r="A7" s="3"/>
      <c r="B7" s="29" t="str">
        <v>Community</v>
      </c>
      <c r="C7" s="29" t="str">
        <v>Text or notes</v>
      </c>
      <c r="D7" s="29" t="str">
        <v>01 Confirm the basics</v>
      </c>
      <c r="E7" s="3"/>
    </row>
    <row r="8" ht="34" customHeight="1">
      <c r="A8" s="3"/>
      <c r="B8" s="29" t="str">
        <v>Date assessment performed</v>
      </c>
      <c r="C8" s="29" t="str">
        <v>Date (YYYY-MM-DD)</v>
      </c>
      <c r="D8" s="29" t="str">
        <v>01 Confirm the basics</v>
      </c>
      <c r="E8" s="3"/>
    </row>
    <row r="9" ht="34" customHeight="1">
      <c r="A9" s="3"/>
      <c r="B9" s="29" t="str">
        <v>Date referral received</v>
      </c>
      <c r="C9" s="29" t="str">
        <v>Date (YYYY-MM-DD)</v>
      </c>
      <c r="D9" s="29" t="str">
        <v>01 Confirm the basics</v>
      </c>
      <c r="E9" s="3"/>
    </row>
    <row r="10" ht="34" customHeight="1">
      <c r="A10" s="3"/>
      <c r="B10" s="29" t="str">
        <v>Referrer</v>
      </c>
      <c r="C10" s="29" t="str">
        <v>Text or notes</v>
      </c>
      <c r="D10" s="29" t="str">
        <v>01 Confirm the basics</v>
      </c>
      <c r="E10" s="3"/>
    </row>
    <row r="11" ht="34" customHeight="1">
      <c r="A11" s="3"/>
      <c r="B11" s="29" t="str">
        <v>Referrer contact</v>
      </c>
      <c r="C11" s="29" t="str">
        <v>Text or notes</v>
      </c>
      <c r="D11" s="29" t="str">
        <v>01 Confirm the basics</v>
      </c>
      <c r="E11" s="3"/>
    </row>
    <row r="12" ht="34" customHeight="1">
      <c r="A12" s="3"/>
      <c r="B12" s="29" t="str">
        <v>Where the client is now</v>
      </c>
      <c r="C12" s="29" t="str">
        <v>Text or notes</v>
      </c>
      <c r="D12" s="29" t="str">
        <v>01 Confirm the basics</v>
      </c>
      <c r="E12" s="3"/>
    </row>
    <row r="13" ht="34" customHeight="1">
      <c r="A13" s="3"/>
      <c r="B13" s="29" t="str">
        <v>Time at current location</v>
      </c>
      <c r="C13" s="29" t="str">
        <v>Text or notes</v>
      </c>
      <c r="D13" s="29" t="str">
        <v>01 Confirm the basics</v>
      </c>
      <c r="E13" s="3"/>
    </row>
    <row r="14" ht="60" customHeight="1">
      <c r="A14" s="3"/>
      <c r="B14" s="29" t="str">
        <v>Diagnosis categories</v>
      </c>
      <c r="C14" s="29" t="str">
        <v>Schizophrenia; Schizoaffective disorder; Bipolar disorder; Personality disorder; Substance use disorder; Psychosis; Delusional disorder; Physical health condition; Other</v>
      </c>
      <c r="D14" s="29" t="str">
        <v>02 How things are now</v>
      </c>
      <c r="E14" s="3"/>
    </row>
    <row r="15" ht="34" customHeight="1">
      <c r="A15" s="3"/>
      <c r="B15" s="29" t="str">
        <v>Other diagnosis</v>
      </c>
      <c r="C15" s="29" t="str">
        <v>Text or notes</v>
      </c>
      <c r="D15" s="29" t="str">
        <v>02 How things are now</v>
      </c>
      <c r="E15" s="3"/>
    </row>
    <row r="16" ht="34" customHeight="1">
      <c r="A16" s="3"/>
      <c r="B16" s="29" t="str">
        <v>Secondary diagnosis</v>
      </c>
      <c r="C16" s="29" t="str">
        <v>One item per line</v>
      </c>
      <c r="D16" s="29" t="str">
        <v>02 How things are now</v>
      </c>
      <c r="E16" s="3"/>
    </row>
    <row r="17" ht="34" customHeight="1">
      <c r="A17" s="3"/>
      <c r="B17" s="29" t="str">
        <v>Current symptoms</v>
      </c>
      <c r="C17" s="29" t="str">
        <v>Text or notes</v>
      </c>
      <c r="D17" s="29" t="str">
        <v>02 How things are now</v>
      </c>
      <c r="E17" s="3"/>
    </row>
    <row r="18" ht="34" customHeight="1">
      <c r="A18" s="3"/>
      <c r="B18" s="29" t="str">
        <v>Cognition / orientation</v>
      </c>
      <c r="C18" s="29" t="str">
        <v>Text or notes</v>
      </c>
      <c r="D18" s="29" t="str">
        <v>02 How things are now</v>
      </c>
      <c r="E18" s="3"/>
    </row>
    <row r="19" ht="34" customHeight="1">
      <c r="A19" s="3"/>
      <c r="B19" s="29" t="str">
        <v>Primary diagnosis</v>
      </c>
      <c r="C19" s="29" t="str">
        <v>Text or notes</v>
      </c>
      <c r="D19" s="29" t="str">
        <v>02 How things are now</v>
      </c>
      <c r="E19" s="3"/>
    </row>
    <row r="20" ht="34" customHeight="1">
      <c r="A20" s="3"/>
      <c r="B20" s="29" t="str">
        <v>Acuity level</v>
      </c>
      <c r="C20" s="29" t="str">
        <v>Text or notes</v>
      </c>
      <c r="D20" s="29" t="str">
        <v>02 How things are now</v>
      </c>
      <c r="E20" s="3"/>
    </row>
    <row r="21" ht="34" customHeight="1">
      <c r="A21" s="3"/>
      <c r="B21" s="29" t="str">
        <v>Ability to dress</v>
      </c>
      <c r="C21" s="29" t="str">
        <v>Independent; Some assistance; Total assistance</v>
      </c>
      <c r="D21" s="29" t="str">
        <v>03 A usual day</v>
      </c>
      <c r="E21" s="3"/>
    </row>
    <row r="22" ht="34" customHeight="1">
      <c r="A22" s="3"/>
      <c r="B22" s="29" t="str">
        <v>Dressing assistance needed</v>
      </c>
      <c r="C22" s="29" t="str">
        <v>Text or notes</v>
      </c>
      <c r="D22" s="29" t="str">
        <v>03 A usual day</v>
      </c>
      <c r="E22" s="3"/>
    </row>
    <row r="23" ht="34" customHeight="1">
      <c r="A23" s="3"/>
      <c r="B23" s="29" t="str">
        <v>Ability to bathe</v>
      </c>
      <c r="C23" s="29" t="str">
        <v>Independent; Some assistance; Total assistance</v>
      </c>
      <c r="D23" s="29" t="str">
        <v>03 A usual day</v>
      </c>
      <c r="E23" s="3"/>
    </row>
    <row r="24" ht="34" customHeight="1">
      <c r="A24" s="3"/>
      <c r="B24" s="29" t="str">
        <v>Bathing assistance needed</v>
      </c>
      <c r="C24" s="29" t="str">
        <v>Text or notes</v>
      </c>
      <c r="D24" s="29" t="str">
        <v>03 A usual day</v>
      </c>
      <c r="E24" s="3"/>
    </row>
    <row r="25" ht="34" customHeight="1">
      <c r="A25" s="3"/>
      <c r="B25" s="29" t="str">
        <v>Overall hygiene</v>
      </c>
      <c r="C25" s="29" t="str">
        <v>Whole number</v>
      </c>
      <c r="D25" s="29" t="str">
        <v>03 A usual day</v>
      </c>
      <c r="E25" s="3"/>
    </row>
    <row r="26" ht="34" customHeight="1">
      <c r="A26" s="3"/>
      <c r="B26" s="29" t="str">
        <v>ADL needs</v>
      </c>
      <c r="C26" s="29" t="str">
        <v>Text or notes</v>
      </c>
      <c r="D26" s="29" t="str">
        <v>03 A usual day</v>
      </c>
      <c r="E26" s="3"/>
    </row>
    <row r="27" ht="34" customHeight="1">
      <c r="A27" s="3"/>
      <c r="B27" s="29" t="str">
        <v>Prompting level</v>
      </c>
      <c r="C27" s="29" t="str">
        <v>Text or notes</v>
      </c>
      <c r="D27" s="29" t="str">
        <v>03 A usual day</v>
      </c>
      <c r="E27" s="3"/>
    </row>
    <row r="28" ht="34" customHeight="1">
      <c r="A28" s="3"/>
      <c r="B28" s="29" t="str">
        <v>Self-care status</v>
      </c>
      <c r="C28" s="29" t="str">
        <v>Text or notes</v>
      </c>
      <c r="D28" s="29" t="str">
        <v>03 A usual day</v>
      </c>
      <c r="E28" s="3"/>
    </row>
    <row r="29" ht="34" customHeight="1">
      <c r="A29" s="3"/>
      <c r="B29" s="29" t="str">
        <v>Ambulatory</v>
      </c>
      <c r="C29" s="29" t="str">
        <v>Yes; No; Unable to assess</v>
      </c>
      <c r="D29" s="29" t="str">
        <v>03 A usual day</v>
      </c>
      <c r="E29" s="3"/>
    </row>
    <row r="30" ht="34" customHeight="1">
      <c r="A30" s="3"/>
      <c r="B30" s="29" t="str">
        <v>Type of device</v>
      </c>
      <c r="C30" s="29" t="str">
        <v>Text or notes</v>
      </c>
      <c r="D30" s="29" t="str">
        <v>03 A usual day</v>
      </c>
      <c r="E30" s="3"/>
    </row>
    <row r="31" ht="34" customHeight="1">
      <c r="A31" s="3"/>
      <c r="B31" s="29" t="str">
        <v>Language barrier</v>
      </c>
      <c r="C31" s="29" t="str">
        <v>Yes; No; Unable to assess</v>
      </c>
      <c r="D31" s="29" t="str">
        <v>03 A usual day</v>
      </c>
      <c r="E31" s="3"/>
    </row>
    <row r="32" ht="34" customHeight="1">
      <c r="A32" s="3"/>
      <c r="B32" s="29" t="str">
        <v>Language support needed</v>
      </c>
      <c r="C32" s="29" t="str">
        <v>Text or notes</v>
      </c>
      <c r="D32" s="29" t="str">
        <v>03 A usual day</v>
      </c>
      <c r="E32" s="3"/>
    </row>
    <row r="33" ht="34" customHeight="1">
      <c r="A33" s="3"/>
      <c r="B33" s="29" t="str">
        <v>Can hold a linear conversation</v>
      </c>
      <c r="C33" s="29" t="str">
        <v>Yes; No; Unable to assess</v>
      </c>
      <c r="D33" s="29" t="str">
        <v>03 A usual day</v>
      </c>
      <c r="E33" s="3"/>
    </row>
    <row r="34" ht="34" customHeight="1">
      <c r="A34" s="3"/>
      <c r="B34" s="29" t="str">
        <v>Conversation barriers</v>
      </c>
      <c r="C34" s="29" t="str">
        <v>Text or notes</v>
      </c>
      <c r="D34" s="29" t="str">
        <v>03 A usual day</v>
      </c>
      <c r="E34" s="3"/>
    </row>
    <row r="35" ht="34" customHeight="1">
      <c r="A35" s="3"/>
      <c r="B35" s="29" t="str">
        <v>Interaction with peers</v>
      </c>
      <c r="C35" s="29" t="str">
        <v>Whole number</v>
      </c>
      <c r="D35" s="29" t="str">
        <v>03 A usual day</v>
      </c>
      <c r="E35" s="3"/>
    </row>
    <row r="36" ht="34" customHeight="1">
      <c r="A36" s="3"/>
      <c r="B36" s="29" t="str">
        <v>Peer interaction notes</v>
      </c>
      <c r="C36" s="29" t="str">
        <v>Text or notes</v>
      </c>
      <c r="D36" s="29" t="str">
        <v>03 A usual day</v>
      </c>
      <c r="E36" s="3"/>
    </row>
    <row r="37" ht="34" customHeight="1">
      <c r="A37" s="3"/>
      <c r="B37" s="29" t="str">
        <v>Interaction with staff</v>
      </c>
      <c r="C37" s="29" t="str">
        <v>Whole number</v>
      </c>
      <c r="D37" s="29" t="str">
        <v>03 A usual day</v>
      </c>
      <c r="E37" s="3"/>
    </row>
    <row r="38" ht="34" customHeight="1">
      <c r="A38" s="3"/>
      <c r="B38" s="29" t="str">
        <v>Staff interaction notes</v>
      </c>
      <c r="C38" s="29" t="str">
        <v>Text or notes</v>
      </c>
      <c r="D38" s="29" t="str">
        <v>03 A usual day</v>
      </c>
      <c r="E38" s="3"/>
    </row>
    <row r="39" ht="34" customHeight="1">
      <c r="A39" s="3"/>
      <c r="B39" s="29" t="str">
        <v>Participates in programming</v>
      </c>
      <c r="C39" s="29" t="str">
        <v>Yes; No; Unable to assess</v>
      </c>
      <c r="D39" s="29" t="str">
        <v>03 A usual day</v>
      </c>
      <c r="E39" s="3"/>
    </row>
    <row r="40" ht="34" customHeight="1">
      <c r="A40" s="3"/>
      <c r="B40" s="29" t="str">
        <v>Programming notes</v>
      </c>
      <c r="C40" s="29" t="str">
        <v>Text or notes</v>
      </c>
      <c r="D40" s="29" t="str">
        <v>03 A usual day</v>
      </c>
      <c r="E40" s="3"/>
    </row>
    <row r="41" ht="34" customHeight="1">
      <c r="A41" s="3"/>
      <c r="B41" s="29" t="str">
        <v>Physical health concerns</v>
      </c>
      <c r="C41" s="29" t="str">
        <v>Yes; No; Unable to assess</v>
      </c>
      <c r="D41" s="29" t="str">
        <v>04 Health and comfort</v>
      </c>
      <c r="E41" s="3"/>
    </row>
    <row r="42" ht="34" customHeight="1">
      <c r="A42" s="3"/>
      <c r="B42" s="29" t="str">
        <v>Physical health diagnoses</v>
      </c>
      <c r="C42" s="29" t="str">
        <v>Text or notes</v>
      </c>
      <c r="D42" s="29" t="str">
        <v>04 Health and comfort</v>
      </c>
      <c r="E42" s="3"/>
    </row>
    <row r="43" ht="34" customHeight="1">
      <c r="A43" s="3"/>
      <c r="B43" s="29" t="str">
        <v>Current health measures</v>
      </c>
      <c r="C43" s="29" t="str">
        <v>Text or notes</v>
      </c>
      <c r="D43" s="29" t="str">
        <v>04 Health and comfort</v>
      </c>
      <c r="E43" s="3"/>
    </row>
    <row r="44" ht="34" customHeight="1">
      <c r="A44" s="3"/>
      <c r="B44" s="29" t="str">
        <v>Diabetic</v>
      </c>
      <c r="C44" s="29" t="str">
        <v>Yes; No; Unable to assess</v>
      </c>
      <c r="D44" s="29" t="str">
        <v>04 Health and comfort</v>
      </c>
      <c r="E44" s="3"/>
    </row>
    <row r="45" ht="34" customHeight="1">
      <c r="A45" s="3"/>
      <c r="B45" s="29" t="str">
        <v>Diabetes care details</v>
      </c>
      <c r="C45" s="29" t="str">
        <v>Text or notes</v>
      </c>
      <c r="D45" s="29" t="str">
        <v>04 Health and comfort</v>
      </c>
      <c r="E45" s="3"/>
    </row>
    <row r="46" ht="34" customHeight="1">
      <c r="A46" s="3"/>
      <c r="B46" s="29" t="str">
        <v>Special diet</v>
      </c>
      <c r="C46" s="29" t="str">
        <v>Yes; No; Unable to assess</v>
      </c>
      <c r="D46" s="29" t="str">
        <v>04 Health and comfort</v>
      </c>
      <c r="E46" s="3"/>
    </row>
    <row r="47" ht="34" customHeight="1">
      <c r="A47" s="3"/>
      <c r="B47" s="29" t="str">
        <v>Dietary restrictions</v>
      </c>
      <c r="C47" s="29" t="str">
        <v>Text or notes</v>
      </c>
      <c r="D47" s="29" t="str">
        <v>04 Health and comfort</v>
      </c>
      <c r="E47" s="3"/>
    </row>
    <row r="48" ht="34" customHeight="1">
      <c r="A48" s="3"/>
      <c r="B48" s="29" t="str">
        <v>Skin integrity issue</v>
      </c>
      <c r="C48" s="29" t="str">
        <v>Yes; No; Unable to assess</v>
      </c>
      <c r="D48" s="29" t="str">
        <v>04 Health and comfort</v>
      </c>
      <c r="E48" s="3"/>
    </row>
    <row r="49" ht="34" customHeight="1">
      <c r="A49" s="3"/>
      <c r="B49" s="29" t="str">
        <v>Skin integrity details</v>
      </c>
      <c r="C49" s="29" t="str">
        <v>Text or notes</v>
      </c>
      <c r="D49" s="29" t="str">
        <v>04 Health and comfort</v>
      </c>
      <c r="E49" s="3"/>
    </row>
    <row r="50" ht="34" customHeight="1">
      <c r="A50" s="3"/>
      <c r="B50" s="29" t="str">
        <v>Dentures</v>
      </c>
      <c r="C50" s="29" t="str">
        <v>Yes; No; Unable to assess</v>
      </c>
      <c r="D50" s="29" t="str">
        <v>04 Health and comfort</v>
      </c>
      <c r="E50" s="3"/>
    </row>
    <row r="51" ht="34" customHeight="1">
      <c r="A51" s="3"/>
      <c r="B51" s="29" t="str">
        <v>Hearing aids</v>
      </c>
      <c r="C51" s="29" t="str">
        <v>Yes; No; Unable to assess</v>
      </c>
      <c r="D51" s="29" t="str">
        <v>04 Health and comfort</v>
      </c>
      <c r="E51" s="3"/>
    </row>
    <row r="52" ht="34" customHeight="1">
      <c r="A52" s="3"/>
      <c r="B52" s="29" t="str">
        <v>Glasses</v>
      </c>
      <c r="C52" s="29" t="str">
        <v>Yes; No; Unable to assess</v>
      </c>
      <c r="D52" s="29" t="str">
        <v>04 Health and comfort</v>
      </c>
      <c r="E52" s="3"/>
    </row>
    <row r="53" ht="34" customHeight="1">
      <c r="A53" s="3"/>
      <c r="B53" s="29" t="str">
        <v>Oxygen</v>
      </c>
      <c r="C53" s="29" t="str">
        <v>Yes; No; Unable to assess</v>
      </c>
      <c r="D53" s="29" t="str">
        <v>04 Health and comfort</v>
      </c>
      <c r="E53" s="3"/>
    </row>
    <row r="54" ht="34" customHeight="1">
      <c r="A54" s="3"/>
      <c r="B54" s="29" t="str">
        <v>Hospital bed</v>
      </c>
      <c r="C54" s="29" t="str">
        <v>Yes; No; Unable to assess</v>
      </c>
      <c r="D54" s="29" t="str">
        <v>04 Health and comfort</v>
      </c>
      <c r="E54" s="3"/>
    </row>
    <row r="55" ht="34" customHeight="1">
      <c r="A55" s="3"/>
      <c r="B55" s="29" t="str">
        <v>CPAP</v>
      </c>
      <c r="C55" s="29" t="str">
        <v>Yes; No; Unable to assess</v>
      </c>
      <c r="D55" s="29" t="str">
        <v>04 Health and comfort</v>
      </c>
      <c r="E55" s="3"/>
    </row>
    <row r="56" ht="34" customHeight="1">
      <c r="A56" s="3"/>
      <c r="B56" s="29" t="str">
        <v>Catheter care</v>
      </c>
      <c r="C56" s="29" t="str">
        <v>Yes; No; Unable to assess</v>
      </c>
      <c r="D56" s="29" t="str">
        <v>04 Health and comfort</v>
      </c>
      <c r="E56" s="3"/>
    </row>
    <row r="57" ht="34" customHeight="1">
      <c r="A57" s="3"/>
      <c r="B57" s="29" t="str">
        <v>Colostomy</v>
      </c>
      <c r="C57" s="29" t="str">
        <v>Yes; No; Unable to assess</v>
      </c>
      <c r="D57" s="29" t="str">
        <v>04 Health and comfort</v>
      </c>
      <c r="E57" s="3"/>
    </row>
    <row r="58" ht="34" customHeight="1">
      <c r="A58" s="3"/>
      <c r="B58" s="29" t="str">
        <v>Ileostomy</v>
      </c>
      <c r="C58" s="29" t="str">
        <v>Yes; No; Unable to assess</v>
      </c>
      <c r="D58" s="29" t="str">
        <v>04 Health and comfort</v>
      </c>
      <c r="E58" s="3"/>
    </row>
    <row r="59" ht="34" customHeight="1">
      <c r="A59" s="3"/>
      <c r="B59" s="29" t="str">
        <v>Incontinence issues</v>
      </c>
      <c r="C59" s="29" t="str">
        <v>Yes; No; Unable to assess</v>
      </c>
      <c r="D59" s="29" t="str">
        <v>04 Health and comfort</v>
      </c>
      <c r="E59" s="3"/>
    </row>
    <row r="60" ht="44" customHeight="1">
      <c r="A60" s="3"/>
      <c r="B60" s="29" t="str">
        <v>Support</v>
      </c>
      <c r="C60" s="29" t="str">
        <v>Client independently changes briefs; Client needs help changing briefs; Client needs briefs changed</v>
      </c>
      <c r="D60" s="29" t="str">
        <v>04 Health and comfort</v>
      </c>
      <c r="E60" s="3"/>
    </row>
    <row r="61" ht="34" customHeight="1">
      <c r="A61" s="3"/>
      <c r="B61" s="29" t="str">
        <v>Additional health information</v>
      </c>
      <c r="C61" s="29" t="str">
        <v>Text or notes</v>
      </c>
      <c r="D61" s="29" t="str">
        <v>04 Health and comfort</v>
      </c>
      <c r="E61" s="3"/>
    </row>
    <row r="62" ht="34" customHeight="1">
      <c r="A62" s="3"/>
      <c r="B62" s="29" t="str">
        <v>Medication compliant</v>
      </c>
      <c r="C62" s="29" t="str">
        <v>Yes; No; Unable to assess</v>
      </c>
      <c r="D62" s="29" t="str">
        <v>05 Medication</v>
      </c>
      <c r="E62" s="3"/>
    </row>
    <row r="63" ht="34" customHeight="1">
      <c r="A63" s="3"/>
      <c r="B63" s="29" t="str">
        <v>Date of last medication refusal</v>
      </c>
      <c r="C63" s="29" t="str">
        <v>Date (YYYY-MM-DD)</v>
      </c>
      <c r="D63" s="29" t="str">
        <v>05 Medication</v>
      </c>
      <c r="E63" s="3"/>
    </row>
    <row r="64" ht="34" customHeight="1">
      <c r="A64" s="3"/>
      <c r="B64" s="29" t="str">
        <v>Medication refused</v>
      </c>
      <c r="C64" s="29" t="str">
        <v>Text or notes</v>
      </c>
      <c r="D64" s="29" t="str">
        <v>05 Medication</v>
      </c>
      <c r="E64" s="3"/>
    </row>
    <row r="65" ht="34" customHeight="1">
      <c r="A65" s="3"/>
      <c r="B65" s="29" t="str">
        <v>Refusals in the last 30 days</v>
      </c>
      <c r="C65" s="29" t="str">
        <v>Whole number</v>
      </c>
      <c r="D65" s="29" t="str">
        <v>05 Medication</v>
      </c>
      <c r="E65" s="3"/>
    </row>
    <row r="66" ht="34" customHeight="1">
      <c r="A66" s="3"/>
      <c r="B66" s="29" t="str">
        <v>PRN patterns</v>
      </c>
      <c r="C66" s="29" t="str">
        <v>Text or notes</v>
      </c>
      <c r="D66" s="29" t="str">
        <v>05 Medication</v>
      </c>
      <c r="E66" s="3"/>
    </row>
    <row r="67" ht="34" customHeight="1">
      <c r="A67" s="3"/>
      <c r="B67" s="29" t="str">
        <v>IM injections</v>
      </c>
      <c r="C67" s="29" t="str">
        <v>Yes; No; Unable to assess</v>
      </c>
      <c r="D67" s="29" t="str">
        <v>05 Medication</v>
      </c>
      <c r="E67" s="3"/>
    </row>
    <row r="68" ht="34" customHeight="1">
      <c r="A68" s="3"/>
      <c r="B68" s="29" t="str">
        <v>Injection details</v>
      </c>
      <c r="C68" s="29" t="str">
        <v>Text or notes</v>
      </c>
      <c r="D68" s="29" t="str">
        <v>05 Medication</v>
      </c>
      <c r="E68" s="3"/>
    </row>
    <row r="69" ht="34" customHeight="1">
      <c r="A69" s="3"/>
      <c r="B69" s="29" t="str">
        <v>Injection frequency</v>
      </c>
      <c r="C69" s="29" t="str">
        <v>Text or notes</v>
      </c>
      <c r="D69" s="29" t="str">
        <v>05 Medication</v>
      </c>
      <c r="E69" s="3"/>
    </row>
    <row r="70" ht="34" customHeight="1">
      <c r="A70" s="3"/>
      <c r="B70" s="29" t="str">
        <v>Last injection</v>
      </c>
      <c r="C70" s="29" t="str">
        <v>Text or notes</v>
      </c>
      <c r="D70" s="29" t="str">
        <v>05 Medication</v>
      </c>
      <c r="E70" s="3"/>
    </row>
    <row r="71" ht="34" customHeight="1">
      <c r="A71" s="3"/>
      <c r="B71" s="29" t="str">
        <v>Next injection due</v>
      </c>
      <c r="C71" s="29" t="str">
        <v>Text or notes</v>
      </c>
      <c r="D71" s="29" t="str">
        <v>05 Medication</v>
      </c>
      <c r="E71" s="3"/>
    </row>
    <row r="72" ht="34" customHeight="1">
      <c r="A72" s="3"/>
      <c r="B72" s="29" t="str">
        <v>LAI vs oral</v>
      </c>
      <c r="C72" s="29" t="str">
        <v>Text or notes</v>
      </c>
      <c r="D72" s="29" t="str">
        <v>05 Medication</v>
      </c>
      <c r="E72" s="3"/>
    </row>
    <row r="73" ht="34" customHeight="1">
      <c r="A73" s="3"/>
      <c r="B73" s="29" t="str">
        <v>County</v>
      </c>
      <c r="C73" s="29" t="str">
        <v>Text or notes</v>
      </c>
      <c r="D73" s="29" t="str">
        <v>06 Living situation</v>
      </c>
      <c r="E73" s="3"/>
    </row>
    <row r="74" ht="76" customHeight="1">
      <c r="A74" s="3"/>
      <c r="B74" s="29" t="str">
        <v>Most recent setting type</v>
      </c>
      <c r="C74" s="29" t="str">
        <v>State hospital; Acute psychiatric hospital; IMD / MHRC; Skilled nursing facility; Board and care; Residential program; Jail / forensic setting; Independent or family home; Unhoused; Other</v>
      </c>
      <c r="D74" s="29" t="str">
        <v>06 Living situation</v>
      </c>
      <c r="E74" s="3"/>
    </row>
    <row r="75" ht="34" customHeight="1">
      <c r="A75" s="3"/>
      <c r="B75" s="29" t="str">
        <v>Most recent facility or program</v>
      </c>
      <c r="C75" s="29" t="str">
        <v>Text or notes</v>
      </c>
      <c r="D75" s="29" t="str">
        <v>06 Living situation</v>
      </c>
      <c r="E75" s="3"/>
    </row>
    <row r="76" ht="34" customHeight="1">
      <c r="A76" s="3"/>
      <c r="B76" s="29" t="str">
        <v>Admit date</v>
      </c>
      <c r="C76" s="29" t="str">
        <v>Date (YYYY-MM-DD)</v>
      </c>
      <c r="D76" s="29" t="str">
        <v>06 Living situation</v>
      </c>
      <c r="E76" s="3"/>
    </row>
    <row r="77" ht="34" customHeight="1">
      <c r="A77" s="3"/>
      <c r="B77" s="29" t="str">
        <v>Earlier care placements</v>
      </c>
      <c r="C77" s="29" t="str">
        <v>Text or notes</v>
      </c>
      <c r="D77" s="29" t="str">
        <v>07 Recent care and history</v>
      </c>
      <c r="E77" s="3"/>
    </row>
    <row r="78" ht="34" customHeight="1">
      <c r="A78" s="3"/>
      <c r="B78" s="29" t="str">
        <v>Prior AWOL / failed placements</v>
      </c>
      <c r="C78" s="29" t="str">
        <v>Text or notes</v>
      </c>
      <c r="D78" s="29" t="str">
        <v>07 Recent care and history</v>
      </c>
      <c r="E78" s="3"/>
    </row>
    <row r="79" ht="34" customHeight="1">
      <c r="A79" s="3"/>
      <c r="B79" s="29" t="str">
        <v>Hospitalization history</v>
      </c>
      <c r="C79" s="29" t="str">
        <v>Text or notes</v>
      </c>
      <c r="D79" s="29" t="str">
        <v>07 Recent care and history</v>
      </c>
      <c r="E79" s="3"/>
    </row>
    <row r="80" ht="34" customHeight="1">
      <c r="A80" s="3"/>
      <c r="B80" s="29" t="str">
        <v>Prior hospitalizations</v>
      </c>
      <c r="C80" s="29" t="str">
        <v>Whole number</v>
      </c>
      <c r="D80" s="29" t="str">
        <v>07 Recent care and history</v>
      </c>
      <c r="E80" s="3"/>
    </row>
    <row r="81" ht="34" customHeight="1">
      <c r="A81" s="3"/>
      <c r="B81" s="29" t="str">
        <v>Most recent hospitalization</v>
      </c>
      <c r="C81" s="29" t="str">
        <v>Date (YYYY-MM-DD)</v>
      </c>
      <c r="D81" s="29" t="str">
        <v>07 Recent care and history</v>
      </c>
      <c r="E81" s="3"/>
    </row>
    <row r="82" ht="34" customHeight="1">
      <c r="A82" s="3"/>
      <c r="B82" s="29" t="str">
        <v>Prior 5150 / 5250 holds</v>
      </c>
      <c r="C82" s="29" t="str">
        <v>Text or notes</v>
      </c>
      <c r="D82" s="29" t="str">
        <v>07 Recent care and history</v>
      </c>
      <c r="E82" s="3"/>
    </row>
    <row r="83" ht="34" customHeight="1">
      <c r="A83" s="3"/>
      <c r="B83" s="29" t="str">
        <v>Crisis / ER utilization</v>
      </c>
      <c r="C83" s="29" t="str">
        <v>Text or notes</v>
      </c>
      <c r="D83" s="29" t="str">
        <v>07 Recent care and history</v>
      </c>
      <c r="E83" s="3"/>
    </row>
    <row r="84" ht="34" customHeight="1">
      <c r="A84" s="3"/>
      <c r="B84" s="29" t="str">
        <v>History of substance abuse</v>
      </c>
      <c r="C84" s="29" t="str">
        <v>Yes; No; Unable to assess</v>
      </c>
      <c r="D84" s="29" t="str">
        <v>08 Substance use and recovery</v>
      </c>
      <c r="E84" s="3"/>
    </row>
    <row r="85" ht="34" customHeight="1">
      <c r="A85" s="3"/>
      <c r="B85" s="29" t="str">
        <v>Active substance use</v>
      </c>
      <c r="C85" s="29" t="str">
        <v>Yes; No; Unable to assess</v>
      </c>
      <c r="D85" s="29" t="str">
        <v>08 Substance use and recovery</v>
      </c>
      <c r="E85" s="3"/>
    </row>
    <row r="86" ht="34" customHeight="1">
      <c r="A86" s="3"/>
      <c r="B86" s="29" t="str">
        <v>Substances</v>
      </c>
      <c r="C86" s="29" t="str">
        <v>Opioids; Amphetamines; Marijuana; Alcohol; Other</v>
      </c>
      <c r="D86" s="29" t="str">
        <v>08 Substance use and recovery</v>
      </c>
      <c r="E86" s="3"/>
    </row>
    <row r="87" ht="34" customHeight="1">
      <c r="A87" s="3"/>
      <c r="B87" s="29" t="str">
        <v>Last substance use</v>
      </c>
      <c r="C87" s="29" t="str">
        <v>Date (YYYY-MM-DD)</v>
      </c>
      <c r="D87" s="29" t="str">
        <v>08 Substance use and recovery</v>
      </c>
      <c r="E87" s="3"/>
    </row>
    <row r="88" ht="34" customHeight="1">
      <c r="A88" s="3"/>
      <c r="B88" s="29" t="str">
        <v>Use pattern</v>
      </c>
      <c r="C88" s="29" t="str">
        <v>Daily; Weekly; Sporadic; Rarely</v>
      </c>
      <c r="D88" s="29" t="str">
        <v>08 Substance use and recovery</v>
      </c>
      <c r="E88" s="3"/>
    </row>
    <row r="89" ht="34" customHeight="1">
      <c r="A89" s="3"/>
      <c r="B89" s="29" t="str">
        <v>Effect on baseline behavior</v>
      </c>
      <c r="C89" s="29" t="str">
        <v>Text or notes</v>
      </c>
      <c r="D89" s="29" t="str">
        <v>08 Substance use and recovery</v>
      </c>
      <c r="E89" s="3"/>
    </row>
    <row r="90" ht="60" customHeight="1">
      <c r="A90" s="3"/>
      <c r="B90" s="29" t="str">
        <v>Longest sobriety in the last five years</v>
      </c>
      <c r="C90" s="29" t="str">
        <v>1 month; 2 months; 3 months; 4 months; 5 months; 6 months; 7 months; 8 months; 9 months; 10 months; 11 months; 1 year; 18 months; 2 years; More than 2 years</v>
      </c>
      <c r="D90" s="29" t="str">
        <v>08 Substance use and recovery</v>
      </c>
      <c r="E90" s="3"/>
    </row>
    <row r="91" ht="44" customHeight="1">
      <c r="A91" s="3"/>
      <c r="B91" s="29" t="str">
        <v>Acknowledgment of substance-use impact</v>
      </c>
      <c r="C91" s="29" t="str">
        <v>Acknowledges impact; Partially acknowledges impact; Does not acknowledge impact; Not discussed</v>
      </c>
      <c r="D91" s="29" t="str">
        <v>08 Substance use and recovery</v>
      </c>
      <c r="E91" s="3"/>
    </row>
    <row r="92" ht="34" customHeight="1">
      <c r="A92" s="3"/>
      <c r="B92" s="29" t="str">
        <v>Substance-use impact notes</v>
      </c>
      <c r="C92" s="29" t="str">
        <v>Text or notes</v>
      </c>
      <c r="D92" s="29" t="str">
        <v>08 Substance use and recovery</v>
      </c>
      <c r="E92" s="3"/>
    </row>
    <row r="93" ht="34" customHeight="1">
      <c r="A93" s="3"/>
      <c r="B93" s="29" t="str">
        <v>Treatment history</v>
      </c>
      <c r="C93" s="29" t="str">
        <v>Text or notes</v>
      </c>
      <c r="D93" s="29" t="str">
        <v>08 Substance use and recovery</v>
      </c>
      <c r="E93" s="3"/>
    </row>
    <row r="94" ht="34" customHeight="1">
      <c r="A94" s="3"/>
      <c r="B94" s="29" t="str">
        <v>Longest sobriety in the last five years</v>
      </c>
      <c r="C94" s="29" t="str">
        <v>Whole number</v>
      </c>
      <c r="D94" s="29" t="str">
        <v>08 Substance use and recovery</v>
      </c>
      <c r="E94" s="3"/>
    </row>
    <row r="95" ht="34" customHeight="1">
      <c r="A95" s="3"/>
      <c r="B95" s="29" t="str">
        <v>Behavioral history</v>
      </c>
      <c r="C95" s="29" t="str">
        <v>Text or notes</v>
      </c>
      <c r="D95" s="29" t="str">
        <v>09 Safety and support</v>
      </c>
      <c r="E95" s="3"/>
    </row>
    <row r="96" ht="34" customHeight="1">
      <c r="A96" s="3"/>
      <c r="B96" s="29" t="str">
        <v>Physical altercations</v>
      </c>
      <c r="C96" s="29" t="str">
        <v>Yes; No; Unable to assess</v>
      </c>
      <c r="D96" s="29" t="str">
        <v>09 Safety and support</v>
      </c>
      <c r="E96" s="3"/>
    </row>
    <row r="97" ht="34" customHeight="1">
      <c r="A97" s="3"/>
      <c r="B97" s="29" t="str">
        <v>Physical altercation details</v>
      </c>
      <c r="C97" s="29" t="str">
        <v>Text or notes</v>
      </c>
      <c r="D97" s="29" t="str">
        <v>09 Safety and support</v>
      </c>
      <c r="E97" s="3"/>
    </row>
    <row r="98" ht="34" customHeight="1">
      <c r="A98" s="3"/>
      <c r="B98" s="29" t="str">
        <v>History of self-harm</v>
      </c>
      <c r="C98" s="29" t="str">
        <v>Yes; No; Unable to assess</v>
      </c>
      <c r="D98" s="29" t="str">
        <v>09 Safety and support</v>
      </c>
      <c r="E98" s="3"/>
    </row>
    <row r="99" ht="34" customHeight="1">
      <c r="A99" s="3"/>
      <c r="B99" s="29" t="str">
        <v>Last documented self-harm incident</v>
      </c>
      <c r="C99" s="29" t="str">
        <v>Text or notes</v>
      </c>
      <c r="D99" s="29" t="str">
        <v>09 Safety and support</v>
      </c>
      <c r="E99" s="3"/>
    </row>
    <row r="100" ht="34" customHeight="1">
      <c r="A100" s="3"/>
      <c r="B100" s="29" t="str">
        <v>Current self-harm ideation</v>
      </c>
      <c r="C100" s="29" t="str">
        <v>Yes; No; Unable to assess</v>
      </c>
      <c r="D100" s="29" t="str">
        <v>09 Safety and support</v>
      </c>
      <c r="E100" s="3"/>
    </row>
    <row r="101" ht="34" customHeight="1">
      <c r="A101" s="3"/>
      <c r="B101" s="29" t="str">
        <v>Current self-harm ideation details</v>
      </c>
      <c r="C101" s="29" t="str">
        <v>Text or notes</v>
      </c>
      <c r="D101" s="29" t="str">
        <v>09 Safety and support</v>
      </c>
      <c r="E101" s="3"/>
    </row>
    <row r="102" ht="34" customHeight="1">
      <c r="A102" s="3"/>
      <c r="B102" s="29" t="str">
        <v>Current safety measures</v>
      </c>
      <c r="C102" s="29" t="str">
        <v>Text or notes</v>
      </c>
      <c r="D102" s="29" t="str">
        <v>09 Safety and support</v>
      </c>
      <c r="E102" s="3"/>
    </row>
    <row r="103" ht="34" customHeight="1">
      <c r="A103" s="3"/>
      <c r="B103" s="29" t="str">
        <v>History of assaults</v>
      </c>
      <c r="C103" s="29" t="str">
        <v>Yes; No; Unable to assess</v>
      </c>
      <c r="D103" s="29" t="str">
        <v>09 Safety and support</v>
      </c>
      <c r="E103" s="3"/>
    </row>
    <row r="104" ht="34" customHeight="1">
      <c r="A104" s="3"/>
      <c r="B104" s="29" t="str">
        <v>Most recent assault</v>
      </c>
      <c r="C104" s="29" t="str">
        <v>Text or notes</v>
      </c>
      <c r="D104" s="29" t="str">
        <v>09 Safety and support</v>
      </c>
      <c r="E104" s="3"/>
    </row>
    <row r="105" ht="34" customHeight="1">
      <c r="A105" s="3"/>
      <c r="B105" s="29" t="str">
        <v>Assaults in the last two years</v>
      </c>
      <c r="C105" s="29" t="str">
        <v>Whole number</v>
      </c>
      <c r="D105" s="29" t="str">
        <v>09 Safety and support</v>
      </c>
      <c r="E105" s="3"/>
    </row>
    <row r="106" ht="34" customHeight="1">
      <c r="A106" s="3"/>
      <c r="B106" s="29" t="str">
        <v>History of elopement</v>
      </c>
      <c r="C106" s="29" t="str">
        <v>Yes; No; Unable to assess</v>
      </c>
      <c r="D106" s="29" t="str">
        <v>09 Safety and support</v>
      </c>
      <c r="E106" s="3"/>
    </row>
    <row r="107" ht="34" customHeight="1">
      <c r="A107" s="3"/>
      <c r="B107" s="29" t="str">
        <v>Elopement risk</v>
      </c>
      <c r="C107" s="29" t="str">
        <v>Text or notes</v>
      </c>
      <c r="D107" s="29" t="str">
        <v>09 Safety and support</v>
      </c>
      <c r="E107" s="3"/>
    </row>
    <row r="108" ht="34" customHeight="1">
      <c r="A108" s="3"/>
      <c r="B108" s="29" t="str">
        <v>SI / HI history</v>
      </c>
      <c r="C108" s="29" t="str">
        <v>Text or notes</v>
      </c>
      <c r="D108" s="29" t="str">
        <v>09 Safety and support</v>
      </c>
      <c r="E108" s="3"/>
    </row>
    <row r="109" ht="34" customHeight="1">
      <c r="A109" s="3"/>
      <c r="B109" s="29" t="str">
        <v>Triggers and what helps</v>
      </c>
      <c r="C109" s="29" t="str">
        <v>Text or notes</v>
      </c>
      <c r="D109" s="29" t="str">
        <v>09 Safety and support</v>
      </c>
      <c r="E109" s="3"/>
    </row>
    <row r="110" ht="34" customHeight="1">
      <c r="A110" s="3"/>
      <c r="B110" s="29" t="str">
        <v>Aggression risk</v>
      </c>
      <c r="C110" s="29" t="str">
        <v>Text or notes</v>
      </c>
      <c r="D110" s="29" t="str">
        <v>09 Safety and support</v>
      </c>
      <c r="E110" s="3"/>
    </row>
    <row r="111" ht="34" customHeight="1">
      <c r="A111" s="3"/>
      <c r="B111" s="29" t="str">
        <v>Responds to internal stimuli</v>
      </c>
      <c r="C111" s="29" t="str">
        <v>Text or notes</v>
      </c>
      <c r="D111" s="29" t="str">
        <v>09 Safety and support</v>
      </c>
      <c r="E111" s="3"/>
    </row>
    <row r="112" ht="34" customHeight="1">
      <c r="A112" s="3"/>
      <c r="B112" s="29" t="str">
        <v>Auditory hallucinations</v>
      </c>
      <c r="C112" s="29" t="str">
        <v>Text or notes</v>
      </c>
      <c r="D112" s="29" t="str">
        <v>09 Safety and support</v>
      </c>
      <c r="E112" s="3"/>
    </row>
    <row r="113" ht="34" customHeight="1">
      <c r="A113" s="3"/>
      <c r="B113" s="29" t="str">
        <v>Nature of auditory hallucinations</v>
      </c>
      <c r="C113" s="29" t="str">
        <v>Text or notes</v>
      </c>
      <c r="D113" s="29" t="str">
        <v>09 Safety and support</v>
      </c>
      <c r="E113" s="3"/>
    </row>
    <row r="114" ht="34" customHeight="1">
      <c r="A114" s="3"/>
      <c r="B114" s="29" t="str">
        <v>Current auditory frequency</v>
      </c>
      <c r="C114" s="29" t="str">
        <v>Text or notes</v>
      </c>
      <c r="D114" s="29" t="str">
        <v>09 Safety and support</v>
      </c>
      <c r="E114" s="3"/>
    </row>
    <row r="115" ht="34" customHeight="1">
      <c r="A115" s="3"/>
      <c r="B115" s="29" t="str">
        <v>Auditory triggers</v>
      </c>
      <c r="C115" s="29" t="str">
        <v>Text or notes</v>
      </c>
      <c r="D115" s="29" t="str">
        <v>09 Safety and support</v>
      </c>
      <c r="E115" s="3"/>
    </row>
    <row r="116" ht="34" customHeight="1">
      <c r="A116" s="3"/>
      <c r="B116" s="29" t="str">
        <v>Visual hallucinations</v>
      </c>
      <c r="C116" s="29" t="str">
        <v>Text or notes</v>
      </c>
      <c r="D116" s="29" t="str">
        <v>09 Safety and support</v>
      </c>
      <c r="E116" s="3"/>
    </row>
    <row r="117" ht="34" customHeight="1">
      <c r="A117" s="3"/>
      <c r="B117" s="29" t="str">
        <v>Nature and frequency of visual hallucinations</v>
      </c>
      <c r="C117" s="29" t="str">
        <v>Text or notes</v>
      </c>
      <c r="D117" s="29" t="str">
        <v>09 Safety and support</v>
      </c>
      <c r="E117" s="3"/>
    </row>
    <row r="118" ht="34" customHeight="1">
      <c r="A118" s="3"/>
      <c r="B118" s="29" t="str">
        <v>Recent visual hallucinations</v>
      </c>
      <c r="C118" s="29" t="str">
        <v>Text or notes</v>
      </c>
      <c r="D118" s="29" t="str">
        <v>09 Safety and support</v>
      </c>
      <c r="E118" s="3"/>
    </row>
    <row r="119" ht="34" customHeight="1">
      <c r="A119" s="3"/>
      <c r="B119" s="29" t="str">
        <v>Olfactory hallucinations</v>
      </c>
      <c r="C119" s="29" t="str">
        <v>Text or notes</v>
      </c>
      <c r="D119" s="29" t="str">
        <v>09 Safety and support</v>
      </c>
      <c r="E119" s="3"/>
    </row>
    <row r="120" ht="34" customHeight="1">
      <c r="A120" s="3"/>
      <c r="B120" s="29" t="str">
        <v>Olfactory hallucination details</v>
      </c>
      <c r="C120" s="29" t="str">
        <v>Text or notes</v>
      </c>
      <c r="D120" s="29" t="str">
        <v>09 Safety and support</v>
      </c>
      <c r="E120" s="3"/>
    </row>
    <row r="121" ht="34" customHeight="1">
      <c r="A121" s="3"/>
      <c r="B121" s="29" t="str">
        <v>Impact of olfactory hallucinations</v>
      </c>
      <c r="C121" s="29" t="str">
        <v>Text or notes</v>
      </c>
      <c r="D121" s="29" t="str">
        <v>09 Safety and support</v>
      </c>
      <c r="E121" s="3"/>
    </row>
    <row r="122" ht="34" customHeight="1">
      <c r="A122" s="3"/>
      <c r="B122" s="29" t="str">
        <v>Tactile hallucinations</v>
      </c>
      <c r="C122" s="29" t="str">
        <v>Text or notes</v>
      </c>
      <c r="D122" s="29" t="str">
        <v>09 Safety and support</v>
      </c>
      <c r="E122" s="3"/>
    </row>
    <row r="123" ht="34" customHeight="1">
      <c r="A123" s="3"/>
      <c r="B123" s="29" t="str">
        <v>Tactile hallucination details</v>
      </c>
      <c r="C123" s="29" t="str">
        <v>Text or notes</v>
      </c>
      <c r="D123" s="29" t="str">
        <v>09 Safety and support</v>
      </c>
      <c r="E123" s="3"/>
    </row>
    <row r="124" ht="34" customHeight="1">
      <c r="A124" s="3"/>
      <c r="B124" s="29" t="str">
        <v>Tactile hallucination frequency</v>
      </c>
      <c r="C124" s="29" t="str">
        <v>Text or notes</v>
      </c>
      <c r="D124" s="29" t="str">
        <v>09 Safety and support</v>
      </c>
      <c r="E124" s="3"/>
    </row>
    <row r="125" ht="34" customHeight="1">
      <c r="A125" s="3"/>
      <c r="B125" s="29" t="str">
        <v>Gustatory hallucinations</v>
      </c>
      <c r="C125" s="29" t="str">
        <v>Text or notes</v>
      </c>
      <c r="D125" s="29" t="str">
        <v>09 Safety and support</v>
      </c>
      <c r="E125" s="3"/>
    </row>
    <row r="126" ht="34" customHeight="1">
      <c r="A126" s="3"/>
      <c r="B126" s="29" t="str">
        <v>Gustatory hallucination details</v>
      </c>
      <c r="C126" s="29" t="str">
        <v>Text or notes</v>
      </c>
      <c r="D126" s="29" t="str">
        <v>09 Safety and support</v>
      </c>
      <c r="E126" s="3"/>
    </row>
    <row r="127" ht="34" customHeight="1">
      <c r="A127" s="3"/>
      <c r="B127" s="29" t="str">
        <v>Hallucination coping strategies</v>
      </c>
      <c r="C127" s="29" t="str">
        <v>Text or notes</v>
      </c>
      <c r="D127" s="29" t="str">
        <v>09 Safety and support</v>
      </c>
      <c r="E127" s="3"/>
    </row>
    <row r="128" ht="34" customHeight="1">
      <c r="A128" s="3"/>
      <c r="B128" s="29" t="str">
        <v>Hallucination distress or impairment</v>
      </c>
      <c r="C128" s="29" t="str">
        <v>Text or notes</v>
      </c>
      <c r="D128" s="29" t="str">
        <v>09 Safety and support</v>
      </c>
      <c r="E128" s="3"/>
    </row>
    <row r="129" ht="34" customHeight="1">
      <c r="A129" s="3"/>
      <c r="B129" s="29" t="str">
        <v>Impact on daily functioning</v>
      </c>
      <c r="C129" s="29" t="str">
        <v>Text or notes</v>
      </c>
      <c r="D129" s="29" t="str">
        <v>09 Safety and support</v>
      </c>
      <c r="E129" s="3"/>
    </row>
    <row r="130" ht="34" customHeight="1">
      <c r="A130" s="3"/>
      <c r="B130" s="29" t="str">
        <v>Professional discussion and treatment</v>
      </c>
      <c r="C130" s="29" t="str">
        <v>Text or notes</v>
      </c>
      <c r="D130" s="29" t="str">
        <v>09 Safety and support</v>
      </c>
      <c r="E130" s="3"/>
    </row>
    <row r="131" ht="34" customHeight="1">
      <c r="A131" s="3"/>
      <c r="B131" s="29" t="str">
        <v>Conserved status</v>
      </c>
      <c r="C131" s="29" t="str">
        <v>LPS; TCon; Murphy's; Non-Conserved</v>
      </c>
      <c r="D131" s="29" t="str">
        <v>10 Decisions and legal support</v>
      </c>
      <c r="E131" s="3"/>
    </row>
    <row r="132" ht="34" customHeight="1">
      <c r="A132" s="3"/>
      <c r="B132" s="29" t="str">
        <v>Conservator name</v>
      </c>
      <c r="C132" s="29" t="str">
        <v>Text or notes</v>
      </c>
      <c r="D132" s="29" t="str">
        <v>10 Decisions and legal support</v>
      </c>
      <c r="E132" s="3"/>
    </row>
    <row r="133" ht="34" customHeight="1">
      <c r="A133" s="3"/>
      <c r="B133" s="29" t="str">
        <v>Conservatorship details</v>
      </c>
      <c r="C133" s="29" t="str">
        <v>Text or notes</v>
      </c>
      <c r="D133" s="29" t="str">
        <v>10 Decisions and legal support</v>
      </c>
      <c r="E133" s="3"/>
    </row>
    <row r="134" ht="34" customHeight="1">
      <c r="A134" s="3"/>
      <c r="B134" s="29" t="str">
        <v>Hold type</v>
      </c>
      <c r="C134" s="29" t="str">
        <v>Text or notes</v>
      </c>
      <c r="D134" s="29" t="str">
        <v>10 Decisions and legal support</v>
      </c>
      <c r="E134" s="3"/>
    </row>
    <row r="135" ht="34" customHeight="1">
      <c r="A135" s="3"/>
      <c r="B135" s="29" t="str">
        <v>Forensic history</v>
      </c>
      <c r="C135" s="29" t="str">
        <v>Text or notes</v>
      </c>
      <c r="D135" s="29" t="str">
        <v>10 Decisions and legal support</v>
      </c>
      <c r="E135" s="3"/>
    </row>
    <row r="136" ht="34" customHeight="1">
      <c r="A136" s="3"/>
      <c r="B136" s="29" t="str">
        <v>PC 290 registration</v>
      </c>
      <c r="C136" s="29" t="str">
        <v>Yes; No; Unable to assess</v>
      </c>
      <c r="D136" s="29" t="str">
        <v>10 Decisions and legal support</v>
      </c>
      <c r="E136" s="3"/>
    </row>
    <row r="137" ht="34" customHeight="1">
      <c r="A137" s="3"/>
      <c r="B137" s="29" t="str">
        <v>Arson history</v>
      </c>
      <c r="C137" s="29" t="str">
        <v>Yes; No; Unable to assess</v>
      </c>
      <c r="D137" s="29" t="str">
        <v>10 Decisions and legal support</v>
      </c>
      <c r="E137" s="3"/>
    </row>
    <row r="138" ht="34" customHeight="1">
      <c r="A138" s="3"/>
      <c r="B138" s="29" t="str">
        <v>Diversion client</v>
      </c>
      <c r="C138" s="29" t="str">
        <v>Yes; No; Unable to assess</v>
      </c>
      <c r="D138" s="29" t="str">
        <v>10 Decisions and legal support</v>
      </c>
      <c r="E138" s="3"/>
    </row>
    <row r="139" ht="34" customHeight="1">
      <c r="A139" s="3"/>
      <c r="B139" s="29" t="str">
        <v>Court requirements</v>
      </c>
      <c r="C139" s="29" t="str">
        <v>Text or notes</v>
      </c>
      <c r="D139" s="29" t="str">
        <v>10 Decisions and legal support</v>
      </c>
      <c r="E139" s="3"/>
    </row>
    <row r="140" ht="34" customHeight="1">
      <c r="A140" s="3"/>
      <c r="B140" s="29" t="str">
        <v>Court dates</v>
      </c>
      <c r="C140" s="29" t="str">
        <v>Text or notes</v>
      </c>
      <c r="D140" s="29" t="str">
        <v>10 Decisions and legal support</v>
      </c>
      <c r="E140" s="3"/>
    </row>
    <row r="141" ht="34" customHeight="1">
      <c r="A141" s="3"/>
      <c r="B141" s="29" t="str">
        <v>Probation / parole / justice</v>
      </c>
      <c r="C141" s="29" t="str">
        <v>Text or notes</v>
      </c>
      <c r="D141" s="29" t="str">
        <v>10 Decisions and legal support</v>
      </c>
      <c r="E141" s="3"/>
    </row>
    <row r="142" ht="34" customHeight="1">
      <c r="A142" s="3"/>
      <c r="B142" s="29" t="str">
        <v>Forensic involvement</v>
      </c>
      <c r="C142" s="29" t="str">
        <v>Text or notes</v>
      </c>
      <c r="D142" s="29" t="str">
        <v>10 Decisions and legal support</v>
      </c>
      <c r="E142" s="3"/>
    </row>
    <row r="143" ht="34" customHeight="1">
      <c r="A143" s="3"/>
      <c r="B143" s="29" t="str">
        <v>Forensic involvement details</v>
      </c>
      <c r="C143" s="29" t="str">
        <v>Text or notes</v>
      </c>
      <c r="D143" s="29" t="str">
        <v>10 Decisions and legal support</v>
      </c>
      <c r="E143" s="3"/>
    </row>
    <row r="144" ht="34" customHeight="1">
      <c r="A144" s="3"/>
      <c r="B144" s="29" t="str">
        <v>History of arrest</v>
      </c>
      <c r="C144" s="29" t="str">
        <v>Text or notes</v>
      </c>
      <c r="D144" s="29" t="str">
        <v>10 Decisions and legal support</v>
      </c>
      <c r="E144" s="3"/>
    </row>
    <row r="145" ht="34" customHeight="1">
      <c r="A145" s="3"/>
      <c r="B145" s="29" t="str">
        <v>Most recent arrest date</v>
      </c>
      <c r="C145" s="29" t="str">
        <v>Date (YYYY-MM-DD)</v>
      </c>
      <c r="D145" s="29" t="str">
        <v>10 Decisions and legal support</v>
      </c>
      <c r="E145" s="3"/>
    </row>
    <row r="146" ht="34" customHeight="1">
      <c r="A146" s="3"/>
      <c r="B146" s="29" t="str">
        <v>Most recent arrest charge</v>
      </c>
      <c r="C146" s="29" t="str">
        <v>Text or notes</v>
      </c>
      <c r="D146" s="29" t="str">
        <v>10 Decisions and legal support</v>
      </c>
      <c r="E146" s="3"/>
    </row>
    <row r="147" ht="34" customHeight="1">
      <c r="A147" s="3"/>
      <c r="B147" s="29" t="str">
        <v>Time in jail</v>
      </c>
      <c r="C147" s="29" t="str">
        <v>Text or notes</v>
      </c>
      <c r="D147" s="29" t="str">
        <v>10 Decisions and legal support</v>
      </c>
      <c r="E147" s="3"/>
    </row>
    <row r="148" ht="34" customHeight="1">
      <c r="A148" s="3"/>
      <c r="B148" s="29" t="str">
        <v>Arrest in the last two years</v>
      </c>
      <c r="C148" s="29" t="str">
        <v>Text or notes</v>
      </c>
      <c r="D148" s="29" t="str">
        <v>10 Decisions and legal support</v>
      </c>
      <c r="E148" s="3"/>
    </row>
    <row r="149" ht="34" customHeight="1">
      <c r="A149" s="3"/>
      <c r="B149" s="29" t="str">
        <v>Recent arrest details</v>
      </c>
      <c r="C149" s="29" t="str">
        <v>Text or notes</v>
      </c>
      <c r="D149" s="29" t="str">
        <v>10 Decisions and legal support</v>
      </c>
      <c r="E149" s="3"/>
    </row>
    <row r="150" ht="34" customHeight="1">
      <c r="A150" s="3"/>
      <c r="B150" s="29" t="str">
        <v>Total recorded arrests</v>
      </c>
      <c r="C150" s="29" t="str">
        <v>Whole number</v>
      </c>
      <c r="D150" s="29" t="str">
        <v>10 Decisions and legal support</v>
      </c>
      <c r="E150" s="3"/>
    </row>
    <row r="151" ht="34" customHeight="1">
      <c r="A151" s="3"/>
      <c r="B151" s="29" t="str">
        <v>Family involvement</v>
      </c>
      <c r="C151" s="29" t="str">
        <v>Text or notes</v>
      </c>
      <c r="D151" s="29" t="str">
        <v>11 What matters next</v>
      </c>
      <c r="E151" s="3"/>
    </row>
    <row r="152" ht="34" customHeight="1">
      <c r="A152" s="3"/>
      <c r="B152" s="29" t="str">
        <v>Friendships and social connections</v>
      </c>
      <c r="C152" s="29" t="str">
        <v>Text or notes</v>
      </c>
      <c r="D152" s="29" t="str">
        <v>11 What matters next</v>
      </c>
      <c r="E152" s="3"/>
    </row>
    <row r="153" ht="34" customHeight="1">
      <c r="A153" s="3"/>
      <c r="B153" s="29" t="str">
        <v>Home and housing history</v>
      </c>
      <c r="C153" s="29" t="str">
        <v>Text or notes</v>
      </c>
      <c r="D153" s="29" t="str">
        <v>11 What matters next</v>
      </c>
      <c r="E153" s="3"/>
    </row>
    <row r="154" ht="34" customHeight="1">
      <c r="A154" s="3"/>
      <c r="B154" s="29" t="str">
        <v>Benefits / income status</v>
      </c>
      <c r="C154" s="29" t="str">
        <v>Text or notes</v>
      </c>
      <c r="D154" s="29" t="str">
        <v>11 What matters next</v>
      </c>
      <c r="E154" s="3"/>
    </row>
    <row r="155" ht="34" customHeight="1">
      <c r="A155" s="3"/>
      <c r="B155" s="29" t="str">
        <v>Discharge planning goals</v>
      </c>
      <c r="C155" s="29" t="str">
        <v>Text or notes</v>
      </c>
      <c r="D155" s="29" t="str">
        <v>11 What matters next</v>
      </c>
      <c r="E155" s="3"/>
    </row>
    <row r="156" ht="34" customHeight="1">
      <c r="A156" s="3"/>
      <c r="B156" s="29" t="str">
        <v>Placement preferences and concerns</v>
      </c>
      <c r="C156" s="29" t="str">
        <v>Text or notes</v>
      </c>
      <c r="D156" s="29" t="str">
        <v>11 What matters next</v>
      </c>
      <c r="E156" s="3"/>
    </row>
    <row r="157" ht="34" customHeight="1">
      <c r="A157" s="3"/>
      <c r="B157" s="29" t="str">
        <v>Additional information</v>
      </c>
      <c r="C157" s="29" t="str">
        <v>Text or notes</v>
      </c>
      <c r="D157" s="29" t="str">
        <v>12 Anything else</v>
      </c>
      <c r="E157" s="3"/>
    </row>
    <row r="158" ht="34" customHeight="1">
      <c r="A158" s="3"/>
      <c r="B158" s="29" t="str">
        <v>Placement questions or concerns</v>
      </c>
      <c r="C158" s="29" t="str">
        <v>Text or notes</v>
      </c>
      <c r="D158" s="29" t="str">
        <v>12 Anything else</v>
      </c>
      <c r="E158" s="3"/>
    </row>
    <row r="159" ht="34" customHeight="1">
      <c r="A159" s="3"/>
      <c r="B159" s="29" t="str">
        <v>Assessment notes</v>
      </c>
      <c r="C159" s="29" t="str">
        <v>Text or notes</v>
      </c>
      <c r="D159" s="29" t="str">
        <v>12 Anything else</v>
      </c>
      <c r="E159" s="3"/>
    </row>
    <row r="160">
      <c r="A160" s="3"/>
      <c r="B160" s="3"/>
      <c r="C160" s="3"/>
      <c r="D160" s="3"/>
      <c r="E160" s="3"/>
    </row>
    <row r="161">
      <c r="A161" s="3"/>
      <c r="B161" s="3"/>
      <c r="C161" s="3"/>
      <c r="D161" s="3"/>
      <c r="E161" s="3"/>
    </row>
    <row r="162">
      <c r="A162" s="3"/>
      <c r="B162" s="3"/>
      <c r="C162" s="3"/>
      <c r="D162" s="3"/>
      <c r="E162" s="3"/>
    </row>
    <row r="163">
      <c r="A163" s="3"/>
      <c r="B163" s="3"/>
      <c r="C163" s="3"/>
      <c r="D163" s="3"/>
      <c r="E163" s="3"/>
    </row>
    <row r="164">
      <c r="A164" s="3"/>
      <c r="B164" s="3"/>
      <c r="C164" s="3"/>
      <c r="D164" s="3"/>
      <c r="E164" s="3"/>
    </row>
    <row r="165">
      <c r="A165" s="3"/>
      <c r="B165" s="3"/>
      <c r="C165" s="3"/>
      <c r="D165" s="3"/>
      <c r="E165" s="3"/>
    </row>
    <row r="166">
      <c r="A166" s="3"/>
      <c r="B166" s="3"/>
      <c r="C166" s="3"/>
      <c r="D166" s="3"/>
      <c r="E166" s="3"/>
    </row>
    <row r="167">
      <c r="A167" s="3"/>
      <c r="B167" s="3"/>
      <c r="C167" s="3"/>
      <c r="D167" s="3"/>
      <c r="E167" s="3"/>
    </row>
    <row r="168">
      <c r="A168" s="3"/>
      <c r="B168" s="3"/>
      <c r="C168" s="3"/>
      <c r="D168" s="3"/>
      <c r="E168" s="3"/>
    </row>
    <row r="169">
      <c r="A169" s="3"/>
      <c r="B169" s="3"/>
      <c r="C169" s="3"/>
      <c r="D169" s="3"/>
      <c r="E169" s="3"/>
    </row>
    <row r="170">
      <c r="A170" s="3"/>
      <c r="B170" s="3"/>
      <c r="C170" s="3"/>
      <c r="D170" s="3"/>
      <c r="E170" s="3"/>
    </row>
    <row r="171">
      <c r="A171" s="3"/>
      <c r="B171" s="3"/>
      <c r="C171" s="3"/>
      <c r="D171" s="3"/>
      <c r="E171" s="3"/>
    </row>
  </sheetData>
  <pageMargins left="0.7" right="0.7" top="0.75" bottom="0.75" header="0.3" footer="0.3"/>
</worksheet>
</file>